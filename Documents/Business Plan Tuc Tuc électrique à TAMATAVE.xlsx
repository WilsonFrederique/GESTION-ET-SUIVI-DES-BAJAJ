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 PROJETS\Travails\Entreprise 1\Documents\"/>
    </mc:Choice>
  </mc:AlternateContent>
  <xr:revisionPtr revIDLastSave="0" documentId="13_ncr:1_{2D477DAE-14C9-46EC-AA40-4F64AD82B19F}" xr6:coauthVersionLast="47" xr6:coauthVersionMax="47" xr10:uidLastSave="{00000000-0000-0000-0000-000000000000}"/>
  <bookViews>
    <workbookView xWindow="-108" yWindow="-108" windowWidth="23256" windowHeight="13176" activeTab="5" xr2:uid="{46899F27-FDE4-1040-992F-FC242FEDCC9B}"/>
  </bookViews>
  <sheets>
    <sheet name="Lancement" sheetId="1" r:id="rId1"/>
    <sheet name="Crédit Banque" sheetId="5" r:id="rId2"/>
    <sheet name="Fonctionnement E6" sheetId="2" r:id="rId3"/>
    <sheet name="Amorttissement" sheetId="4" r:id="rId4"/>
    <sheet name="Simulation BARRY E7" sheetId="8" r:id="rId5"/>
    <sheet name="Pièces de rechange" sheetId="9" r:id="rId6"/>
  </sheets>
  <definedNames>
    <definedName name="_xlnm._FilterDatabase" localSheetId="5" hidden="1">'Pièces de rechange'!$A$2:$J$27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F17" i="8"/>
  <c r="F18" i="8" s="1"/>
  <c r="F19" i="8" s="1"/>
  <c r="F19" i="2"/>
  <c r="G19" i="2"/>
  <c r="C19" i="2"/>
  <c r="H32" i="4"/>
  <c r="B16" i="8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14" i="8"/>
  <c r="B14" i="2"/>
  <c r="P11" i="9"/>
  <c r="P18" i="9"/>
  <c r="P19" i="9"/>
  <c r="P27" i="9"/>
  <c r="I27" i="9"/>
  <c r="J27" i="9" s="1"/>
  <c r="I21" i="9"/>
  <c r="J21" i="9" s="1"/>
  <c r="I20" i="9"/>
  <c r="J20" i="9" s="1"/>
  <c r="I18" i="9"/>
  <c r="J18" i="9" s="1"/>
  <c r="I17" i="9"/>
  <c r="J17" i="9" s="1"/>
  <c r="I12" i="9"/>
  <c r="J12" i="9" s="1"/>
  <c r="I4" i="9"/>
  <c r="J4" i="9" s="1"/>
  <c r="I3" i="9"/>
  <c r="J3" i="9" s="1"/>
  <c r="O4" i="9"/>
  <c r="P4" i="9" s="1"/>
  <c r="O5" i="9"/>
  <c r="P5" i="9" s="1"/>
  <c r="O6" i="9"/>
  <c r="P6" i="9" s="1"/>
  <c r="O7" i="9"/>
  <c r="P7" i="9" s="1"/>
  <c r="O8" i="9"/>
  <c r="P8" i="9" s="1"/>
  <c r="O9" i="9"/>
  <c r="P9" i="9" s="1"/>
  <c r="O10" i="9"/>
  <c r="P10" i="9" s="1"/>
  <c r="O11" i="9"/>
  <c r="O12" i="9"/>
  <c r="P12" i="9" s="1"/>
  <c r="O13" i="9"/>
  <c r="P13" i="9" s="1"/>
  <c r="O14" i="9"/>
  <c r="P14" i="9" s="1"/>
  <c r="O15" i="9"/>
  <c r="P15" i="9" s="1"/>
  <c r="O16" i="9"/>
  <c r="P16" i="9" s="1"/>
  <c r="O17" i="9"/>
  <c r="P17" i="9" s="1"/>
  <c r="O18" i="9"/>
  <c r="O19" i="9"/>
  <c r="O20" i="9"/>
  <c r="P20" i="9" s="1"/>
  <c r="O21" i="9"/>
  <c r="P21" i="9" s="1"/>
  <c r="O22" i="9"/>
  <c r="P22" i="9" s="1"/>
  <c r="O23" i="9"/>
  <c r="P23" i="9" s="1"/>
  <c r="O24" i="9"/>
  <c r="P24" i="9" s="1"/>
  <c r="O25" i="9"/>
  <c r="P25" i="9" s="1"/>
  <c r="O26" i="9"/>
  <c r="P26" i="9" s="1"/>
  <c r="O27" i="9"/>
  <c r="O3" i="9"/>
  <c r="P3" i="9" s="1"/>
  <c r="I19" i="9"/>
  <c r="J19" i="9" s="1"/>
  <c r="I25" i="9"/>
  <c r="J25" i="9" s="1"/>
  <c r="I16" i="9"/>
  <c r="J16" i="9" s="1"/>
  <c r="I24" i="9"/>
  <c r="J24" i="9" s="1"/>
  <c r="I23" i="9"/>
  <c r="J23" i="9" s="1"/>
  <c r="H23" i="9"/>
  <c r="H20" i="9"/>
  <c r="H24" i="9"/>
  <c r="H27" i="9"/>
  <c r="H17" i="9"/>
  <c r="H16" i="9"/>
  <c r="H25" i="9"/>
  <c r="H19" i="9"/>
  <c r="I7" i="9"/>
  <c r="J7" i="9" s="1"/>
  <c r="I9" i="9"/>
  <c r="J9" i="9" s="1"/>
  <c r="I8" i="9"/>
  <c r="J8" i="9" s="1"/>
  <c r="I11" i="9"/>
  <c r="J11" i="9" s="1"/>
  <c r="I5" i="9"/>
  <c r="J5" i="9" s="1"/>
  <c r="I6" i="9"/>
  <c r="J6" i="9" s="1"/>
  <c r="I13" i="9"/>
  <c r="J13" i="9" s="1"/>
  <c r="I15" i="9"/>
  <c r="J15" i="9" s="1"/>
  <c r="I22" i="9"/>
  <c r="J22" i="9" s="1"/>
  <c r="I26" i="9"/>
  <c r="J26" i="9" s="1"/>
  <c r="I14" i="9"/>
  <c r="J14" i="9" s="1"/>
  <c r="I10" i="9"/>
  <c r="J10" i="9" s="1"/>
  <c r="H4" i="9"/>
  <c r="H7" i="9"/>
  <c r="H9" i="9"/>
  <c r="H3" i="9"/>
  <c r="H12" i="9"/>
  <c r="H8" i="9"/>
  <c r="H11" i="9"/>
  <c r="H5" i="9"/>
  <c r="H6" i="9"/>
  <c r="H13" i="9"/>
  <c r="H15" i="9"/>
  <c r="H21" i="9"/>
  <c r="H18" i="9"/>
  <c r="H22" i="9"/>
  <c r="H26" i="9"/>
  <c r="H14" i="9"/>
  <c r="H10" i="9"/>
  <c r="O4" i="8"/>
  <c r="P4" i="8" s="1"/>
  <c r="I2" i="8"/>
  <c r="J2" i="8" s="1"/>
  <c r="E13" i="8" s="1"/>
  <c r="J12" i="8"/>
  <c r="I12" i="8"/>
  <c r="G12" i="8"/>
  <c r="E12" i="8"/>
  <c r="P7" i="8"/>
  <c r="D7" i="8"/>
  <c r="E7" i="8" s="1"/>
  <c r="C13" i="8" s="1"/>
  <c r="P6" i="8"/>
  <c r="D6" i="8"/>
  <c r="E6" i="8" s="1"/>
  <c r="P5" i="8"/>
  <c r="I5" i="8"/>
  <c r="E5" i="8"/>
  <c r="J4" i="8"/>
  <c r="E4" i="8"/>
  <c r="P3" i="8"/>
  <c r="J3" i="8"/>
  <c r="E3" i="8"/>
  <c r="D7" i="2"/>
  <c r="E7" i="2" s="1"/>
  <c r="D6" i="2"/>
  <c r="E5" i="2"/>
  <c r="H34" i="4"/>
  <c r="D26" i="1"/>
  <c r="C29" i="1"/>
  <c r="D29" i="1" s="1"/>
  <c r="D28" i="1"/>
  <c r="D25" i="1"/>
  <c r="D24" i="1"/>
  <c r="D23" i="1"/>
  <c r="D22" i="1"/>
  <c r="D21" i="1"/>
  <c r="D20" i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I1" i="5"/>
  <c r="H2" i="5"/>
  <c r="I2" i="5" s="1"/>
  <c r="D6" i="4"/>
  <c r="E6" i="4" s="1"/>
  <c r="C14" i="2" l="1"/>
  <c r="C13" i="2"/>
  <c r="B15" i="2"/>
  <c r="C15" i="2" s="1"/>
  <c r="S38" i="8"/>
  <c r="R38" i="8"/>
  <c r="T38" i="8" s="1"/>
  <c r="R13" i="8"/>
  <c r="R19" i="8"/>
  <c r="S37" i="8"/>
  <c r="S14" i="8"/>
  <c r="S18" i="8"/>
  <c r="R20" i="8"/>
  <c r="R24" i="8"/>
  <c r="R32" i="8"/>
  <c r="I6" i="8"/>
  <c r="J6" i="8" s="1"/>
  <c r="S33" i="8"/>
  <c r="S13" i="8"/>
  <c r="T13" i="8" s="1"/>
  <c r="R25" i="8"/>
  <c r="R27" i="8"/>
  <c r="S31" i="8"/>
  <c r="S19" i="8"/>
  <c r="S26" i="8"/>
  <c r="S32" i="8"/>
  <c r="S22" i="8"/>
  <c r="S27" i="8"/>
  <c r="S28" i="8"/>
  <c r="R16" i="8"/>
  <c r="R23" i="8"/>
  <c r="S29" i="8"/>
  <c r="R36" i="8"/>
  <c r="R15" i="8"/>
  <c r="R21" i="8"/>
  <c r="R35" i="8"/>
  <c r="S15" i="8"/>
  <c r="S35" i="8"/>
  <c r="R17" i="8"/>
  <c r="T17" i="8" s="1"/>
  <c r="S23" i="8"/>
  <c r="R31" i="8"/>
  <c r="S36" i="8"/>
  <c r="S17" i="8"/>
  <c r="S21" i="8"/>
  <c r="S25" i="8"/>
  <c r="R30" i="8"/>
  <c r="R34" i="8"/>
  <c r="R14" i="8"/>
  <c r="R18" i="8"/>
  <c r="R22" i="8"/>
  <c r="R26" i="8"/>
  <c r="S30" i="8"/>
  <c r="S34" i="8"/>
  <c r="S16" i="8"/>
  <c r="S20" i="8"/>
  <c r="S24" i="8"/>
  <c r="R29" i="8"/>
  <c r="R33" i="8"/>
  <c r="R37" i="8"/>
  <c r="C15" i="8"/>
  <c r="J29" i="9"/>
  <c r="I29" i="9"/>
  <c r="C14" i="8"/>
  <c r="C17" i="8"/>
  <c r="C16" i="8"/>
  <c r="F7" i="8"/>
  <c r="E17" i="8"/>
  <c r="P8" i="8"/>
  <c r="R28" i="8"/>
  <c r="J5" i="8"/>
  <c r="O8" i="8"/>
  <c r="E15" i="8"/>
  <c r="E16" i="8"/>
  <c r="E14" i="8"/>
  <c r="H4" i="5"/>
  <c r="H5" i="5" s="1"/>
  <c r="H40" i="4"/>
  <c r="I40" i="4" s="1"/>
  <c r="H36" i="4"/>
  <c r="I36" i="4" s="1"/>
  <c r="H42" i="4"/>
  <c r="H41" i="4"/>
  <c r="I41" i="4" s="1"/>
  <c r="H39" i="4"/>
  <c r="I39" i="4" s="1"/>
  <c r="H38" i="4"/>
  <c r="I38" i="4" s="1"/>
  <c r="H37" i="4"/>
  <c r="I37" i="4" s="1"/>
  <c r="H33" i="4"/>
  <c r="I33" i="4" s="1"/>
  <c r="H43" i="4"/>
  <c r="I43" i="4" s="1"/>
  <c r="H35" i="4"/>
  <c r="I35" i="4" s="1"/>
  <c r="I42" i="4"/>
  <c r="I34" i="4"/>
  <c r="I32" i="4"/>
  <c r="D8" i="4"/>
  <c r="E3" i="4"/>
  <c r="J2" i="2"/>
  <c r="E13" i="2" s="1"/>
  <c r="I5" i="2"/>
  <c r="J5" i="2" s="1"/>
  <c r="H13" i="2" s="1"/>
  <c r="J4" i="2"/>
  <c r="I12" i="2"/>
  <c r="H12" i="2"/>
  <c r="F12" i="2"/>
  <c r="E12" i="2"/>
  <c r="P3" i="2"/>
  <c r="P5" i="2"/>
  <c r="P6" i="2"/>
  <c r="P7" i="2"/>
  <c r="O4" i="2"/>
  <c r="P4" i="2" s="1"/>
  <c r="D5" i="1"/>
  <c r="D6" i="1"/>
  <c r="D8" i="1"/>
  <c r="D9" i="1"/>
  <c r="D10" i="1"/>
  <c r="J3" i="2"/>
  <c r="H14" i="2" l="1"/>
  <c r="H15" i="2"/>
  <c r="J18" i="8"/>
  <c r="J19" i="8"/>
  <c r="J20" i="8"/>
  <c r="J28" i="8"/>
  <c r="J36" i="8"/>
  <c r="J44" i="8"/>
  <c r="J42" i="8"/>
  <c r="J35" i="8"/>
  <c r="J21" i="8"/>
  <c r="J29" i="8"/>
  <c r="J37" i="8"/>
  <c r="J45" i="8"/>
  <c r="J22" i="8"/>
  <c r="J30" i="8"/>
  <c r="J38" i="8"/>
  <c r="J46" i="8"/>
  <c r="J15" i="8"/>
  <c r="J23" i="8"/>
  <c r="J31" i="8"/>
  <c r="J39" i="8"/>
  <c r="J47" i="8"/>
  <c r="J26" i="8"/>
  <c r="J14" i="8"/>
  <c r="J43" i="8"/>
  <c r="J16" i="8"/>
  <c r="J24" i="8"/>
  <c r="J32" i="8"/>
  <c r="J40" i="8"/>
  <c r="J48" i="8"/>
  <c r="J34" i="8"/>
  <c r="J17" i="8"/>
  <c r="J25" i="8"/>
  <c r="J33" i="8"/>
  <c r="J41" i="8"/>
  <c r="J49" i="8"/>
  <c r="J27" i="8"/>
  <c r="B16" i="2"/>
  <c r="T16" i="8"/>
  <c r="T30" i="8"/>
  <c r="J13" i="8"/>
  <c r="T25" i="8"/>
  <c r="T23" i="8"/>
  <c r="T29" i="8"/>
  <c r="T21" i="8"/>
  <c r="T24" i="8"/>
  <c r="F8" i="8"/>
  <c r="F9" i="8" s="1"/>
  <c r="T14" i="8"/>
  <c r="T20" i="8"/>
  <c r="T31" i="8"/>
  <c r="T26" i="8"/>
  <c r="T36" i="8"/>
  <c r="T28" i="8"/>
  <c r="T15" i="8"/>
  <c r="T22" i="8"/>
  <c r="T19" i="8"/>
  <c r="T35" i="8"/>
  <c r="T18" i="8"/>
  <c r="T37" i="8"/>
  <c r="T33" i="8"/>
  <c r="T27" i="8"/>
  <c r="T32" i="8"/>
  <c r="T34" i="8"/>
  <c r="I5" i="5"/>
  <c r="B14" i="5"/>
  <c r="C14" i="5" s="1"/>
  <c r="B15" i="5"/>
  <c r="C15" i="5" s="1"/>
  <c r="B8" i="5"/>
  <c r="C8" i="5" s="1"/>
  <c r="B16" i="5"/>
  <c r="C16" i="5" s="1"/>
  <c r="B9" i="5"/>
  <c r="C9" i="5" s="1"/>
  <c r="B17" i="5"/>
  <c r="C17" i="5" s="1"/>
  <c r="B10" i="5"/>
  <c r="C10" i="5" s="1"/>
  <c r="B18" i="5"/>
  <c r="C18" i="5" s="1"/>
  <c r="B11" i="5"/>
  <c r="C11" i="5" s="1"/>
  <c r="B7" i="5"/>
  <c r="B13" i="5"/>
  <c r="C13" i="5" s="1"/>
  <c r="B12" i="5"/>
  <c r="C12" i="5" s="1"/>
  <c r="I4" i="5"/>
  <c r="D7" i="1"/>
  <c r="C11" i="1"/>
  <c r="D11" i="1" s="1"/>
  <c r="I29" i="4"/>
  <c r="D9" i="4"/>
  <c r="E8" i="4"/>
  <c r="H29" i="4"/>
  <c r="E15" i="2"/>
  <c r="E14" i="2"/>
  <c r="P8" i="2"/>
  <c r="O8" i="2"/>
  <c r="I6" i="2"/>
  <c r="J6" i="2" s="1"/>
  <c r="J8" i="8" l="1"/>
  <c r="K8" i="8" s="1"/>
  <c r="D13" i="8" s="1"/>
  <c r="K13" i="8" s="1"/>
  <c r="L13" i="8" s="1"/>
  <c r="N13" i="8" s="1"/>
  <c r="I8" i="2"/>
  <c r="E16" i="2"/>
  <c r="C16" i="2"/>
  <c r="I13" i="2"/>
  <c r="I15" i="2"/>
  <c r="I16" i="2"/>
  <c r="I14" i="2"/>
  <c r="B17" i="2"/>
  <c r="C17" i="2" s="1"/>
  <c r="H16" i="2"/>
  <c r="E18" i="8"/>
  <c r="C18" i="8"/>
  <c r="D7" i="5"/>
  <c r="E7" i="5" s="1"/>
  <c r="J8" i="2"/>
  <c r="D13" i="2" s="1"/>
  <c r="J13" i="2" s="1"/>
  <c r="C7" i="5"/>
  <c r="C20" i="8"/>
  <c r="E20" i="8"/>
  <c r="C19" i="8"/>
  <c r="E19" i="8"/>
  <c r="D8" i="5"/>
  <c r="E9" i="4"/>
  <c r="D10" i="4"/>
  <c r="I17" i="2" l="1"/>
  <c r="E17" i="2"/>
  <c r="B18" i="2"/>
  <c r="C18" i="2" s="1"/>
  <c r="H17" i="2"/>
  <c r="D20" i="8"/>
  <c r="K20" i="8" s="1"/>
  <c r="L20" i="8" s="1"/>
  <c r="D16" i="8"/>
  <c r="K16" i="8" s="1"/>
  <c r="L16" i="8" s="1"/>
  <c r="D21" i="8"/>
  <c r="D23" i="8"/>
  <c r="D19" i="8"/>
  <c r="K19" i="8" s="1"/>
  <c r="L19" i="8" s="1"/>
  <c r="D14" i="8"/>
  <c r="K14" i="8" s="1"/>
  <c r="L14" i="8" s="1"/>
  <c r="D22" i="8"/>
  <c r="D24" i="8"/>
  <c r="D15" i="8"/>
  <c r="K15" i="8" s="1"/>
  <c r="L15" i="8" s="1"/>
  <c r="D17" i="8"/>
  <c r="K17" i="8" s="1"/>
  <c r="L17" i="8" s="1"/>
  <c r="D18" i="8"/>
  <c r="K18" i="8" s="1"/>
  <c r="L18" i="8" s="1"/>
  <c r="D18" i="2"/>
  <c r="D20" i="2"/>
  <c r="D23" i="2"/>
  <c r="D21" i="2"/>
  <c r="D19" i="2"/>
  <c r="D17" i="2"/>
  <c r="D24" i="2"/>
  <c r="D22" i="2"/>
  <c r="D16" i="2"/>
  <c r="J16" i="2" s="1"/>
  <c r="D15" i="2"/>
  <c r="J15" i="2" s="1"/>
  <c r="D14" i="2"/>
  <c r="J14" i="2" s="1"/>
  <c r="G21" i="8"/>
  <c r="H21" i="8"/>
  <c r="C21" i="8"/>
  <c r="E21" i="8"/>
  <c r="I21" i="8"/>
  <c r="E8" i="5"/>
  <c r="D9" i="5"/>
  <c r="D11" i="4"/>
  <c r="E10" i="4"/>
  <c r="I18" i="2" l="1"/>
  <c r="J17" i="2"/>
  <c r="E18" i="2"/>
  <c r="B19" i="2"/>
  <c r="H18" i="2"/>
  <c r="N14" i="8"/>
  <c r="N15" i="8" s="1"/>
  <c r="N16" i="8" s="1"/>
  <c r="N17" i="8" s="1"/>
  <c r="N18" i="8" s="1"/>
  <c r="N19" i="8" s="1"/>
  <c r="N20" i="8" s="1"/>
  <c r="K21" i="8"/>
  <c r="L21" i="8" s="1"/>
  <c r="H22" i="8"/>
  <c r="C22" i="8"/>
  <c r="G22" i="8"/>
  <c r="E22" i="8"/>
  <c r="I22" i="8"/>
  <c r="D10" i="5"/>
  <c r="E9" i="5"/>
  <c r="D12" i="4"/>
  <c r="E11" i="4"/>
  <c r="I19" i="2" l="1"/>
  <c r="J18" i="2"/>
  <c r="E19" i="2"/>
  <c r="H19" i="2"/>
  <c r="B20" i="2"/>
  <c r="C20" i="2" s="1"/>
  <c r="N21" i="8"/>
  <c r="K22" i="8"/>
  <c r="L22" i="8" s="1"/>
  <c r="C23" i="8"/>
  <c r="E23" i="8"/>
  <c r="G23" i="8"/>
  <c r="H23" i="8"/>
  <c r="I23" i="8"/>
  <c r="E10" i="5"/>
  <c r="D11" i="5"/>
  <c r="D13" i="4"/>
  <c r="E12" i="4"/>
  <c r="F20" i="2" l="1"/>
  <c r="G20" i="2"/>
  <c r="I20" i="2"/>
  <c r="B21" i="2"/>
  <c r="C21" i="2" s="1"/>
  <c r="H20" i="2"/>
  <c r="E20" i="2"/>
  <c r="J19" i="2"/>
  <c r="N22" i="8"/>
  <c r="K23" i="8"/>
  <c r="L23" i="8" s="1"/>
  <c r="C24" i="8"/>
  <c r="H24" i="8"/>
  <c r="G24" i="8"/>
  <c r="E24" i="8"/>
  <c r="I24" i="8"/>
  <c r="D12" i="5"/>
  <c r="E11" i="5"/>
  <c r="D14" i="4"/>
  <c r="E13" i="4"/>
  <c r="I21" i="2" l="1"/>
  <c r="F21" i="2"/>
  <c r="G21" i="2"/>
  <c r="J20" i="2"/>
  <c r="H21" i="2"/>
  <c r="E21" i="2"/>
  <c r="B22" i="2"/>
  <c r="C22" i="2" s="1"/>
  <c r="N23" i="8"/>
  <c r="K24" i="8"/>
  <c r="L24" i="8" s="1"/>
  <c r="G25" i="8"/>
  <c r="E25" i="8"/>
  <c r="H25" i="8"/>
  <c r="C25" i="8"/>
  <c r="I25" i="8"/>
  <c r="E12" i="5"/>
  <c r="D13" i="5"/>
  <c r="D15" i="4"/>
  <c r="E14" i="4"/>
  <c r="I22" i="2" l="1"/>
  <c r="F22" i="2"/>
  <c r="G22" i="2"/>
  <c r="N24" i="8"/>
  <c r="J21" i="2"/>
  <c r="B23" i="2"/>
  <c r="C23" i="2" s="1"/>
  <c r="E22" i="2"/>
  <c r="H22" i="2"/>
  <c r="K25" i="8"/>
  <c r="L25" i="8" s="1"/>
  <c r="E26" i="8"/>
  <c r="H26" i="8"/>
  <c r="G26" i="8"/>
  <c r="C26" i="8"/>
  <c r="I26" i="8"/>
  <c r="E13" i="5"/>
  <c r="D14" i="5"/>
  <c r="D16" i="4"/>
  <c r="E15" i="4"/>
  <c r="I23" i="2" l="1"/>
  <c r="G23" i="2"/>
  <c r="F23" i="2"/>
  <c r="N25" i="8"/>
  <c r="J22" i="2"/>
  <c r="B24" i="2"/>
  <c r="C24" i="2" s="1"/>
  <c r="H23" i="2"/>
  <c r="E23" i="2"/>
  <c r="K26" i="8"/>
  <c r="L26" i="8" s="1"/>
  <c r="E27" i="8"/>
  <c r="G27" i="8"/>
  <c r="C27" i="8"/>
  <c r="H27" i="8"/>
  <c r="I27" i="8"/>
  <c r="E14" i="5"/>
  <c r="D15" i="5"/>
  <c r="D17" i="4"/>
  <c r="E16" i="4"/>
  <c r="N26" i="8" l="1"/>
  <c r="I24" i="2"/>
  <c r="F24" i="2"/>
  <c r="G24" i="2"/>
  <c r="J23" i="2"/>
  <c r="H24" i="2"/>
  <c r="E24" i="2"/>
  <c r="B25" i="2"/>
  <c r="C25" i="2" s="1"/>
  <c r="K27" i="8"/>
  <c r="L27" i="8" s="1"/>
  <c r="C28" i="8"/>
  <c r="H28" i="8"/>
  <c r="G28" i="8"/>
  <c r="E28" i="8"/>
  <c r="I28" i="8"/>
  <c r="E15" i="5"/>
  <c r="D16" i="5"/>
  <c r="D18" i="4"/>
  <c r="E17" i="4"/>
  <c r="N27" i="8" l="1"/>
  <c r="I25" i="2"/>
  <c r="F25" i="2"/>
  <c r="G25" i="2"/>
  <c r="J24" i="2"/>
  <c r="B26" i="2"/>
  <c r="C26" i="2" s="1"/>
  <c r="H25" i="2"/>
  <c r="E25" i="2"/>
  <c r="K28" i="8"/>
  <c r="L28" i="8" s="1"/>
  <c r="N28" i="8" s="1"/>
  <c r="C29" i="8"/>
  <c r="E29" i="8"/>
  <c r="G29" i="8"/>
  <c r="H29" i="8"/>
  <c r="I29" i="8"/>
  <c r="D17" i="5"/>
  <c r="E16" i="5"/>
  <c r="D19" i="4"/>
  <c r="E18" i="4"/>
  <c r="I26" i="2" l="1"/>
  <c r="F26" i="2"/>
  <c r="G26" i="2"/>
  <c r="J25" i="2"/>
  <c r="H26" i="2"/>
  <c r="E26" i="2"/>
  <c r="B27" i="2"/>
  <c r="K29" i="8"/>
  <c r="L29" i="8" s="1"/>
  <c r="N29" i="8" s="1"/>
  <c r="G30" i="8"/>
  <c r="C30" i="8"/>
  <c r="H30" i="8"/>
  <c r="E30" i="8"/>
  <c r="I30" i="8"/>
  <c r="E17" i="5"/>
  <c r="D18" i="5"/>
  <c r="D20" i="4"/>
  <c r="E19" i="4"/>
  <c r="I27" i="2" l="1"/>
  <c r="C27" i="2"/>
  <c r="F27" i="2"/>
  <c r="G27" i="2"/>
  <c r="H27" i="2"/>
  <c r="E27" i="2"/>
  <c r="B28" i="2"/>
  <c r="J26" i="2"/>
  <c r="K30" i="8"/>
  <c r="L30" i="8" s="1"/>
  <c r="N30" i="8" s="1"/>
  <c r="C31" i="8"/>
  <c r="E31" i="8"/>
  <c r="G31" i="8"/>
  <c r="H31" i="8"/>
  <c r="I31" i="8"/>
  <c r="E18" i="5"/>
  <c r="D21" i="4"/>
  <c r="E20" i="4"/>
  <c r="I28" i="2" l="1"/>
  <c r="C28" i="2"/>
  <c r="J27" i="2"/>
  <c r="G28" i="2"/>
  <c r="H28" i="2"/>
  <c r="E28" i="2"/>
  <c r="F28" i="2"/>
  <c r="B29" i="2"/>
  <c r="K31" i="8"/>
  <c r="L31" i="8" s="1"/>
  <c r="N31" i="8" s="1"/>
  <c r="G32" i="8"/>
  <c r="H32" i="8"/>
  <c r="C32" i="8"/>
  <c r="E32" i="8"/>
  <c r="I32" i="8"/>
  <c r="D22" i="4"/>
  <c r="E21" i="4"/>
  <c r="I29" i="2" l="1"/>
  <c r="C29" i="2"/>
  <c r="B30" i="2"/>
  <c r="F29" i="2"/>
  <c r="H29" i="2"/>
  <c r="G29" i="2"/>
  <c r="E29" i="2"/>
  <c r="J28" i="2"/>
  <c r="K32" i="8"/>
  <c r="L32" i="8" s="1"/>
  <c r="N32" i="8" s="1"/>
  <c r="H33" i="8"/>
  <c r="G33" i="8"/>
  <c r="C33" i="8"/>
  <c r="E33" i="8"/>
  <c r="I33" i="8"/>
  <c r="D23" i="4"/>
  <c r="E22" i="4"/>
  <c r="I30" i="2" l="1"/>
  <c r="C30" i="2"/>
  <c r="J29" i="2"/>
  <c r="F30" i="2"/>
  <c r="G30" i="2"/>
  <c r="H30" i="2"/>
  <c r="B31" i="2"/>
  <c r="E30" i="2"/>
  <c r="K33" i="8"/>
  <c r="L33" i="8" s="1"/>
  <c r="N33" i="8" s="1"/>
  <c r="C34" i="8"/>
  <c r="E34" i="8"/>
  <c r="G34" i="8"/>
  <c r="H34" i="8"/>
  <c r="I34" i="8"/>
  <c r="D24" i="4"/>
  <c r="E23" i="4"/>
  <c r="I31" i="2" l="1"/>
  <c r="C31" i="2"/>
  <c r="J30" i="2"/>
  <c r="B32" i="2"/>
  <c r="E31" i="2"/>
  <c r="H31" i="2"/>
  <c r="G31" i="2"/>
  <c r="F31" i="2"/>
  <c r="K34" i="8"/>
  <c r="L34" i="8" s="1"/>
  <c r="N34" i="8" s="1"/>
  <c r="H35" i="8"/>
  <c r="C35" i="8"/>
  <c r="E35" i="8"/>
  <c r="G35" i="8"/>
  <c r="I35" i="8"/>
  <c r="D25" i="4"/>
  <c r="E24" i="4"/>
  <c r="I32" i="2" l="1"/>
  <c r="C32" i="2"/>
  <c r="J31" i="2"/>
  <c r="H32" i="2"/>
  <c r="E32" i="2"/>
  <c r="F32" i="2"/>
  <c r="G32" i="2"/>
  <c r="B33" i="2"/>
  <c r="K35" i="8"/>
  <c r="L35" i="8" s="1"/>
  <c r="N35" i="8" s="1"/>
  <c r="C36" i="8"/>
  <c r="E36" i="8"/>
  <c r="G36" i="8"/>
  <c r="H36" i="8"/>
  <c r="I36" i="8"/>
  <c r="D26" i="4"/>
  <c r="E25" i="4"/>
  <c r="I33" i="2" l="1"/>
  <c r="C33" i="2"/>
  <c r="H33" i="2"/>
  <c r="F33" i="2"/>
  <c r="E33" i="2"/>
  <c r="G33" i="2"/>
  <c r="B34" i="2"/>
  <c r="J32" i="2"/>
  <c r="K36" i="8"/>
  <c r="L36" i="8" s="1"/>
  <c r="N36" i="8" s="1"/>
  <c r="G37" i="8"/>
  <c r="C37" i="8"/>
  <c r="E37" i="8"/>
  <c r="H37" i="8"/>
  <c r="I37" i="8"/>
  <c r="D27" i="4"/>
  <c r="E26" i="4"/>
  <c r="I34" i="2" l="1"/>
  <c r="C34" i="2"/>
  <c r="B35" i="2"/>
  <c r="H34" i="2"/>
  <c r="E34" i="2"/>
  <c r="F34" i="2"/>
  <c r="G34" i="2"/>
  <c r="J33" i="2"/>
  <c r="K37" i="8"/>
  <c r="L37" i="8" s="1"/>
  <c r="N37" i="8" s="1"/>
  <c r="H38" i="8"/>
  <c r="C38" i="8"/>
  <c r="E38" i="8"/>
  <c r="G38" i="8"/>
  <c r="I38" i="8"/>
  <c r="D28" i="4"/>
  <c r="E27" i="4"/>
  <c r="I35" i="2" l="1"/>
  <c r="C35" i="2"/>
  <c r="J34" i="2"/>
  <c r="H35" i="2"/>
  <c r="E35" i="2"/>
  <c r="G35" i="2"/>
  <c r="F35" i="2"/>
  <c r="B36" i="2"/>
  <c r="K38" i="8"/>
  <c r="L38" i="8" s="1"/>
  <c r="N38" i="8" s="1"/>
  <c r="C39" i="8"/>
  <c r="E39" i="8"/>
  <c r="G39" i="8"/>
  <c r="H39" i="8"/>
  <c r="I39" i="8"/>
  <c r="D29" i="4"/>
  <c r="E28" i="4"/>
  <c r="I36" i="2" l="1"/>
  <c r="C36" i="2"/>
  <c r="B37" i="2"/>
  <c r="H36" i="2"/>
  <c r="E36" i="2"/>
  <c r="F36" i="2"/>
  <c r="G36" i="2"/>
  <c r="J35" i="2"/>
  <c r="K39" i="8"/>
  <c r="L39" i="8" s="1"/>
  <c r="N39" i="8" s="1"/>
  <c r="E40" i="8"/>
  <c r="G40" i="8"/>
  <c r="C40" i="8"/>
  <c r="H40" i="8"/>
  <c r="I40" i="8"/>
  <c r="D30" i="4"/>
  <c r="E29" i="4"/>
  <c r="I37" i="2" l="1"/>
  <c r="C37" i="2"/>
  <c r="J36" i="2"/>
  <c r="B38" i="2"/>
  <c r="H37" i="2"/>
  <c r="G37" i="2"/>
  <c r="F37" i="2"/>
  <c r="E37" i="2"/>
  <c r="K40" i="8"/>
  <c r="L40" i="8" s="1"/>
  <c r="N40" i="8" s="1"/>
  <c r="G41" i="8"/>
  <c r="H41" i="8"/>
  <c r="E41" i="8"/>
  <c r="C41" i="8"/>
  <c r="I41" i="8"/>
  <c r="D31" i="4"/>
  <c r="E30" i="4"/>
  <c r="I38" i="2" l="1"/>
  <c r="C38" i="2"/>
  <c r="J37" i="2"/>
  <c r="B39" i="2"/>
  <c r="H38" i="2"/>
  <c r="F38" i="2"/>
  <c r="E38" i="2"/>
  <c r="G38" i="2"/>
  <c r="K41" i="8"/>
  <c r="L41" i="8" s="1"/>
  <c r="N41" i="8" s="1"/>
  <c r="E42" i="8"/>
  <c r="H42" i="8"/>
  <c r="C42" i="8"/>
  <c r="G42" i="8"/>
  <c r="I42" i="8"/>
  <c r="D32" i="4"/>
  <c r="E31" i="4"/>
  <c r="I39" i="2" l="1"/>
  <c r="C39" i="2"/>
  <c r="J38" i="2"/>
  <c r="B40" i="2"/>
  <c r="F39" i="2"/>
  <c r="E39" i="2"/>
  <c r="H39" i="2"/>
  <c r="G39" i="2"/>
  <c r="K42" i="8"/>
  <c r="L42" i="8" s="1"/>
  <c r="N42" i="8" s="1"/>
  <c r="E43" i="8"/>
  <c r="G43" i="8"/>
  <c r="H43" i="8"/>
  <c r="C43" i="8"/>
  <c r="I43" i="8"/>
  <c r="D33" i="4"/>
  <c r="E32" i="4"/>
  <c r="I40" i="2" l="1"/>
  <c r="C40" i="2"/>
  <c r="J39" i="2"/>
  <c r="B41" i="2"/>
  <c r="H40" i="2"/>
  <c r="E40" i="2"/>
  <c r="F40" i="2"/>
  <c r="G40" i="2"/>
  <c r="K43" i="8"/>
  <c r="L43" i="8" s="1"/>
  <c r="N43" i="8" s="1"/>
  <c r="C44" i="8"/>
  <c r="E44" i="8"/>
  <c r="G44" i="8"/>
  <c r="H44" i="8"/>
  <c r="I44" i="8"/>
  <c r="D34" i="4"/>
  <c r="E33" i="4"/>
  <c r="E4" i="2"/>
  <c r="E3" i="2"/>
  <c r="D4" i="1"/>
  <c r="I41" i="2" l="1"/>
  <c r="C41" i="2"/>
  <c r="R13" i="2"/>
  <c r="R33" i="2"/>
  <c r="R29" i="2"/>
  <c r="R25" i="2"/>
  <c r="R21" i="2"/>
  <c r="R17" i="2"/>
  <c r="Q36" i="2"/>
  <c r="Q32" i="2"/>
  <c r="Q28" i="2"/>
  <c r="Q20" i="2"/>
  <c r="Q14" i="2"/>
  <c r="R35" i="2"/>
  <c r="R27" i="2"/>
  <c r="R19" i="2"/>
  <c r="Q16" i="2"/>
  <c r="Q35" i="2"/>
  <c r="S35" i="2" s="1"/>
  <c r="Q31" i="2"/>
  <c r="Q27" i="2"/>
  <c r="Q23" i="2"/>
  <c r="Q19" i="2"/>
  <c r="Q34" i="2"/>
  <c r="Q18" i="2"/>
  <c r="Q33" i="2"/>
  <c r="Q29" i="2"/>
  <c r="Q25" i="2"/>
  <c r="Q21" i="2"/>
  <c r="Q17" i="2"/>
  <c r="Q24" i="2"/>
  <c r="R16" i="2"/>
  <c r="R31" i="2"/>
  <c r="R23" i="2"/>
  <c r="Q26" i="2"/>
  <c r="R36" i="2"/>
  <c r="R32" i="2"/>
  <c r="R28" i="2"/>
  <c r="R24" i="2"/>
  <c r="R20" i="2"/>
  <c r="R14" i="2"/>
  <c r="S14" i="2" s="1"/>
  <c r="R15" i="2"/>
  <c r="R34" i="2"/>
  <c r="R30" i="2"/>
  <c r="R26" i="2"/>
  <c r="R22" i="2"/>
  <c r="R18" i="2"/>
  <c r="Q15" i="2"/>
  <c r="Q30" i="2"/>
  <c r="S30" i="2" s="1"/>
  <c r="Q22" i="2"/>
  <c r="J40" i="2"/>
  <c r="B42" i="2"/>
  <c r="E41" i="2"/>
  <c r="F41" i="2"/>
  <c r="H41" i="2"/>
  <c r="G41" i="2"/>
  <c r="K44" i="8"/>
  <c r="L44" i="8" s="1"/>
  <c r="N44" i="8" s="1"/>
  <c r="E45" i="8"/>
  <c r="C45" i="8"/>
  <c r="H45" i="8"/>
  <c r="G45" i="8"/>
  <c r="I45" i="8"/>
  <c r="D35" i="4"/>
  <c r="E34" i="4"/>
  <c r="R37" i="2"/>
  <c r="R38" i="2"/>
  <c r="Q37" i="2"/>
  <c r="Q38" i="2"/>
  <c r="Q13" i="2"/>
  <c r="S13" i="2" s="1"/>
  <c r="S24" i="2"/>
  <c r="S25" i="2"/>
  <c r="E6" i="2"/>
  <c r="I42" i="2" l="1"/>
  <c r="C42" i="2"/>
  <c r="S15" i="2"/>
  <c r="K21" i="2"/>
  <c r="K22" i="2"/>
  <c r="K23" i="2"/>
  <c r="K24" i="2"/>
  <c r="K25" i="2"/>
  <c r="K26" i="2"/>
  <c r="K27" i="2"/>
  <c r="K29" i="2"/>
  <c r="K30" i="2"/>
  <c r="K31" i="2"/>
  <c r="K32" i="2"/>
  <c r="K33" i="2"/>
  <c r="K34" i="2"/>
  <c r="K35" i="2"/>
  <c r="K36" i="2"/>
  <c r="K37" i="2"/>
  <c r="K38" i="2"/>
  <c r="K39" i="2"/>
  <c r="K40" i="2"/>
  <c r="S37" i="2"/>
  <c r="J41" i="2"/>
  <c r="B43" i="2"/>
  <c r="H42" i="2"/>
  <c r="G42" i="2"/>
  <c r="E42" i="2"/>
  <c r="F42" i="2"/>
  <c r="K45" i="8"/>
  <c r="L45" i="8" s="1"/>
  <c r="N45" i="8" s="1"/>
  <c r="E46" i="8"/>
  <c r="H46" i="8"/>
  <c r="G46" i="8"/>
  <c r="C46" i="8"/>
  <c r="I46" i="8"/>
  <c r="S36" i="2"/>
  <c r="S34" i="2"/>
  <c r="D36" i="4"/>
  <c r="E35" i="4"/>
  <c r="S18" i="2"/>
  <c r="S22" i="2"/>
  <c r="S29" i="2"/>
  <c r="S31" i="2"/>
  <c r="S27" i="2"/>
  <c r="S33" i="2"/>
  <c r="S38" i="2"/>
  <c r="S32" i="2"/>
  <c r="S28" i="2"/>
  <c r="K28" i="2"/>
  <c r="S26" i="2"/>
  <c r="S19" i="2"/>
  <c r="S21" i="2"/>
  <c r="S17" i="2"/>
  <c r="S16" i="2"/>
  <c r="S20" i="2"/>
  <c r="S23" i="2"/>
  <c r="K20" i="2"/>
  <c r="K17" i="2"/>
  <c r="K15" i="2"/>
  <c r="K16" i="2"/>
  <c r="K14" i="2"/>
  <c r="K18" i="2"/>
  <c r="K19" i="2"/>
  <c r="K13" i="2"/>
  <c r="I43" i="2" l="1"/>
  <c r="C43" i="2"/>
  <c r="K41" i="2"/>
  <c r="J42" i="2"/>
  <c r="K42" i="2" s="1"/>
  <c r="G43" i="2"/>
  <c r="H43" i="2"/>
  <c r="E43" i="2"/>
  <c r="F43" i="2"/>
  <c r="B44" i="2"/>
  <c r="K46" i="8"/>
  <c r="L46" i="8" s="1"/>
  <c r="N46" i="8" s="1"/>
  <c r="H47" i="8"/>
  <c r="G47" i="8"/>
  <c r="E47" i="8"/>
  <c r="C47" i="8"/>
  <c r="I47" i="8"/>
  <c r="D37" i="4"/>
  <c r="E36" i="4"/>
  <c r="M13" i="2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I44" i="2" l="1"/>
  <c r="C44" i="2"/>
  <c r="M42" i="2"/>
  <c r="B45" i="2"/>
  <c r="E44" i="2"/>
  <c r="H44" i="2"/>
  <c r="F44" i="2"/>
  <c r="G44" i="2"/>
  <c r="J43" i="2"/>
  <c r="K43" i="2" s="1"/>
  <c r="K47" i="8"/>
  <c r="L47" i="8" s="1"/>
  <c r="N47" i="8" s="1"/>
  <c r="G48" i="8"/>
  <c r="H48" i="8"/>
  <c r="C48" i="8"/>
  <c r="E48" i="8"/>
  <c r="I48" i="8"/>
  <c r="D38" i="4"/>
  <c r="E37" i="4"/>
  <c r="I45" i="2" l="1"/>
  <c r="C45" i="2"/>
  <c r="M43" i="2"/>
  <c r="J44" i="2"/>
  <c r="K44" i="2" s="1"/>
  <c r="M44" i="2" s="1"/>
  <c r="B46" i="2"/>
  <c r="H45" i="2"/>
  <c r="F45" i="2"/>
  <c r="G45" i="2"/>
  <c r="E45" i="2"/>
  <c r="K48" i="8"/>
  <c r="L48" i="8" s="1"/>
  <c r="N48" i="8" s="1"/>
  <c r="G49" i="8"/>
  <c r="E49" i="8"/>
  <c r="C49" i="8"/>
  <c r="H49" i="8"/>
  <c r="I49" i="8"/>
  <c r="D39" i="4"/>
  <c r="E38" i="4"/>
  <c r="I46" i="2" l="1"/>
  <c r="C46" i="2"/>
  <c r="J45" i="2"/>
  <c r="K45" i="2" s="1"/>
  <c r="M45" i="2" s="1"/>
  <c r="B47" i="2"/>
  <c r="F46" i="2"/>
  <c r="H46" i="2"/>
  <c r="G46" i="2"/>
  <c r="E46" i="2"/>
  <c r="K49" i="8"/>
  <c r="L49" i="8" s="1"/>
  <c r="N49" i="8" s="1"/>
  <c r="D40" i="4"/>
  <c r="E39" i="4"/>
  <c r="I47" i="2" l="1"/>
  <c r="C47" i="2"/>
  <c r="J46" i="2"/>
  <c r="K46" i="2" s="1"/>
  <c r="M46" i="2" s="1"/>
  <c r="B48" i="2"/>
  <c r="H47" i="2"/>
  <c r="F47" i="2"/>
  <c r="G47" i="2"/>
  <c r="E47" i="2"/>
  <c r="D41" i="4"/>
  <c r="E40" i="4"/>
  <c r="I48" i="2" l="1"/>
  <c r="C48" i="2"/>
  <c r="J47" i="2"/>
  <c r="K47" i="2" s="1"/>
  <c r="M47" i="2" s="1"/>
  <c r="B49" i="2"/>
  <c r="I49" i="2" s="1"/>
  <c r="H48" i="2"/>
  <c r="E48" i="2"/>
  <c r="G48" i="2"/>
  <c r="F48" i="2"/>
  <c r="D42" i="4"/>
  <c r="E41" i="4"/>
  <c r="J48" i="2" l="1"/>
  <c r="K48" i="2" s="1"/>
  <c r="M48" i="2" s="1"/>
  <c r="B50" i="2"/>
  <c r="I50" i="2" s="1"/>
  <c r="C49" i="2"/>
  <c r="F49" i="2"/>
  <c r="E49" i="2"/>
  <c r="H49" i="2"/>
  <c r="G49" i="2"/>
  <c r="D43" i="4"/>
  <c r="E43" i="4" s="1"/>
  <c r="E42" i="4"/>
  <c r="J49" i="2" l="1"/>
  <c r="K49" i="2" s="1"/>
  <c r="M49" i="2" s="1"/>
  <c r="F50" i="2"/>
  <c r="H50" i="2"/>
  <c r="G50" i="2"/>
  <c r="E50" i="2"/>
  <c r="C50" i="2"/>
  <c r="J50" i="2" l="1"/>
  <c r="K50" i="2" s="1"/>
  <c r="M50" i="2" s="1"/>
</calcChain>
</file>

<file path=xl/sharedStrings.xml><?xml version="1.0" encoding="utf-8"?>
<sst xmlns="http://schemas.openxmlformats.org/spreadsheetml/2006/main" count="276" uniqueCount="167">
  <si>
    <t>Prix d'achat</t>
  </si>
  <si>
    <t>Description</t>
  </si>
  <si>
    <t>Fréquence</t>
  </si>
  <si>
    <t>Patente</t>
  </si>
  <si>
    <t>Mutuelle de santé</t>
  </si>
  <si>
    <t>Unique</t>
  </si>
  <si>
    <t>Annuelle</t>
  </si>
  <si>
    <t>Ariary</t>
  </si>
  <si>
    <t>Dollar</t>
  </si>
  <si>
    <t>Crédit accordé</t>
  </si>
  <si>
    <t>Taux d'intérêt 15%</t>
  </si>
  <si>
    <t xml:space="preserve">Remboursement </t>
  </si>
  <si>
    <t>= 1$</t>
  </si>
  <si>
    <t>Dépenses</t>
  </si>
  <si>
    <t>TOTAL</t>
  </si>
  <si>
    <t>Mutation noms</t>
  </si>
  <si>
    <t>Licence d'exploitation</t>
  </si>
  <si>
    <t>Visite technique (54.000 pour 4 mois)</t>
  </si>
  <si>
    <t>Assurance contre tiers</t>
  </si>
  <si>
    <t>Parking &amp; Charge</t>
  </si>
  <si>
    <t>Apport Mugisho</t>
  </si>
  <si>
    <t>Qnté</t>
  </si>
  <si>
    <t>Accompte 50%</t>
  </si>
  <si>
    <t>Solde 50%</t>
  </si>
  <si>
    <t>Total</t>
  </si>
  <si>
    <t>1$ =</t>
  </si>
  <si>
    <t>TOTAL DEPENSES ANNUELLES</t>
  </si>
  <si>
    <t>Tuc Tuc Electrique robuste</t>
  </si>
  <si>
    <t xml:space="preserve">Forfait garage </t>
  </si>
  <si>
    <t>CHARGES ANNUELLES</t>
  </si>
  <si>
    <t>TOTAL DEPENSES</t>
  </si>
  <si>
    <t>Remboursement Banque</t>
  </si>
  <si>
    <t>Date de l'opération</t>
  </si>
  <si>
    <t>Pièces de rechange et Consommables</t>
  </si>
  <si>
    <t>Recettes Mensuelles (26 jours)</t>
  </si>
  <si>
    <t>Pièces de rechange &amp; Consommables</t>
  </si>
  <si>
    <t>FONCTIONNEMENT NOV 2025 - DEC 2028</t>
  </si>
  <si>
    <t>NOUVELLES ACQUISITIONS</t>
  </si>
  <si>
    <t>CHARGES MENSUELLES</t>
  </si>
  <si>
    <t>Prime gérant (5% recette)</t>
  </si>
  <si>
    <t xml:space="preserve">Période d'amortissement (mois) </t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</si>
  <si>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</si>
  <si>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</si>
  <si>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</si>
  <si>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</si>
  <si>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</si>
  <si>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</si>
  <si>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</si>
  <si>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</si>
  <si>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</si>
  <si>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</si>
  <si>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</si>
  <si>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</si>
  <si>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Mois 13</t>
  </si>
  <si>
    <t>Mois 14</t>
  </si>
  <si>
    <t>Mois 15</t>
  </si>
  <si>
    <t>Mois 16</t>
  </si>
  <si>
    <t>Mois 17</t>
  </si>
  <si>
    <t>Mois 18</t>
  </si>
  <si>
    <t>Mois 19</t>
  </si>
  <si>
    <t>Mois 20</t>
  </si>
  <si>
    <t>Mois 21</t>
  </si>
  <si>
    <t>Mois 22</t>
  </si>
  <si>
    <t>Mois 23</t>
  </si>
  <si>
    <t>Mois 24</t>
  </si>
  <si>
    <t>Mois 25</t>
  </si>
  <si>
    <t>Mois 26</t>
  </si>
  <si>
    <t>Mois 27</t>
  </si>
  <si>
    <t>Mois 28</t>
  </si>
  <si>
    <t>Mois 29</t>
  </si>
  <si>
    <t>Mois 30</t>
  </si>
  <si>
    <t>Mois 31</t>
  </si>
  <si>
    <t>Mois 32</t>
  </si>
  <si>
    <t>Mois 33</t>
  </si>
  <si>
    <t>Mois 34</t>
  </si>
  <si>
    <t>Mois 35</t>
  </si>
  <si>
    <t>Mois 36</t>
  </si>
  <si>
    <t>TOTAL DEPENSES MENSUELLES</t>
  </si>
  <si>
    <t>Période du crédit</t>
  </si>
  <si>
    <t>1er mois du chauffeur pour rachat</t>
  </si>
  <si>
    <t>2ème mois du chauffeur pour rachat</t>
  </si>
  <si>
    <t>3ème mois du chauffeur pour rachat</t>
  </si>
  <si>
    <t>4ème mois du chauffeur pour rachat</t>
  </si>
  <si>
    <t>5ème mois du chauffeur pour rachat</t>
  </si>
  <si>
    <t>6ème mois du chauffeur pour rachat</t>
  </si>
  <si>
    <t>07ème mois du chauffeur pour rachat</t>
  </si>
  <si>
    <t>8ème mois du chauffeur pour rachat</t>
  </si>
  <si>
    <t>9ème mois du chauffeur pour rachat</t>
  </si>
  <si>
    <t>10ème mois du chauffeur pour rachat</t>
  </si>
  <si>
    <t>11ème mois du chauffeur pour rachat</t>
  </si>
  <si>
    <t>12ème mois du chauffeur pour rachat</t>
  </si>
  <si>
    <t>NbrTuc Tuc</t>
  </si>
  <si>
    <t>Tous frais compris pour la mise en route d'un Tuc Tuc</t>
  </si>
  <si>
    <t xml:space="preserve">Total cumulé pour ré-Investissement </t>
  </si>
  <si>
    <t>Remboursement Mensuel</t>
  </si>
  <si>
    <t>Solde à Payer MGA</t>
  </si>
  <si>
    <t xml:space="preserve">Plan de Remboursement </t>
  </si>
  <si>
    <t>•⁠  ⁠Pour la licence :</t>
  </si>
  <si>
    <t xml:space="preserve"> ✓ photocopie de la carte grise en 3 exemplaires </t>
  </si>
  <si>
    <t xml:space="preserve">✓ CIN légalisée du Propriétaire </t>
  </si>
  <si>
    <t xml:space="preserve">✓ certificat de résidence du Propriétaire </t>
  </si>
  <si>
    <t>✓ Droit de licence : 150.000ar/ an</t>
  </si>
  <si>
    <t>✓ Droit de stationnement : 20.000ar/an</t>
  </si>
  <si>
    <t>✓ visite et contre visite : 20.000ar/an</t>
  </si>
  <si>
    <t>•⁠  ⁠Pour la carte grise ( si tu n'en as pas encore), c'est 550.000ar son obtention ( tous les frais et commission compris)</t>
  </si>
  <si>
    <t>•⁠  ⁠PATENTE ou Carte fiscale</t>
  </si>
  <si>
    <t>✓ 300.000ar</t>
  </si>
  <si>
    <t xml:space="preserve">•⁠  ⁠VISITE TECHNIQUE </t>
  </si>
  <si>
    <t>✓ 50.000ar tous les 4mois</t>
  </si>
  <si>
    <t>*</t>
  </si>
  <si>
    <t>Droit de stationnement</t>
  </si>
  <si>
    <t>Patente ou Carte fiscale</t>
  </si>
  <si>
    <t>Visite et Contre visite</t>
  </si>
  <si>
    <t>Carte grise / Mutation</t>
  </si>
  <si>
    <t>Recette journalière semaine</t>
  </si>
  <si>
    <t>Recette journalière dimanche</t>
  </si>
  <si>
    <t>Marge Bénéficiaire</t>
  </si>
  <si>
    <r>
      <t>Recette mensuelle</t>
    </r>
    <r>
      <rPr>
        <b/>
        <sz val="12"/>
        <color rgb="FF0432FF"/>
        <rFont val="Calibri (Body)"/>
      </rPr>
      <t xml:space="preserve"> avec week end</t>
    </r>
  </si>
  <si>
    <r>
      <t xml:space="preserve">Recette mensuelle </t>
    </r>
    <r>
      <rPr>
        <b/>
        <sz val="12"/>
        <color rgb="FFFF0000"/>
        <rFont val="Calibri (Body)"/>
      </rPr>
      <t>sans week end</t>
    </r>
  </si>
  <si>
    <t xml:space="preserve">Roulement 30205 </t>
  </si>
  <si>
    <t xml:space="preserve">Roulement 6206 </t>
  </si>
  <si>
    <t xml:space="preserve">Roulement 6302 </t>
  </si>
  <si>
    <t>Distance parcourue avant remplacement</t>
  </si>
  <si>
    <t>Combien par tuc tuc</t>
  </si>
  <si>
    <t>Pneu 400/12</t>
  </si>
  <si>
    <t>Chargeur pour batterie 60v 20a</t>
  </si>
  <si>
    <t>Nœud de pont</t>
  </si>
  <si>
    <t>Demi arbre</t>
  </si>
  <si>
    <t>Recepteur de frein</t>
  </si>
  <si>
    <t>Tambour 220mm</t>
  </si>
  <si>
    <t>Moteur 2200w</t>
  </si>
  <si>
    <t>Controleur 2200w</t>
  </si>
  <si>
    <t>Flexible 2.20m</t>
  </si>
  <si>
    <t>Flexible 1.20m</t>
  </si>
  <si>
    <t>Espérance de vie (mois)</t>
  </si>
  <si>
    <t>25.200 km (140km/j)</t>
  </si>
  <si>
    <t>12.600 km (140km/j)</t>
  </si>
  <si>
    <t>33.600 km (140km/j)</t>
  </si>
  <si>
    <t>P.U MGA</t>
  </si>
  <si>
    <t>P.U. USD</t>
  </si>
  <si>
    <t>P.T. MGA</t>
  </si>
  <si>
    <t>P.T. USD</t>
  </si>
  <si>
    <t>Paire</t>
  </si>
  <si>
    <t>Accélérateur</t>
  </si>
  <si>
    <t>Cerveau frein</t>
  </si>
  <si>
    <t>Chambre à air</t>
  </si>
  <si>
    <t xml:space="preserve">Fil équipement </t>
  </si>
  <si>
    <t xml:space="preserve">Globe </t>
  </si>
  <si>
    <t xml:space="preserve">Goujon avec filetage </t>
  </si>
  <si>
    <t>Moyeux avant</t>
  </si>
  <si>
    <r>
      <t xml:space="preserve">Clingotants </t>
    </r>
    <r>
      <rPr>
        <sz val="14"/>
        <color theme="1"/>
        <rFont val="Calibri (Body)"/>
      </rPr>
      <t>led</t>
    </r>
  </si>
  <si>
    <r>
      <t xml:space="preserve">Ferrodo pour frein </t>
    </r>
    <r>
      <rPr>
        <sz val="14"/>
        <color theme="1"/>
        <rFont val="Calibri (Body)"/>
      </rPr>
      <t>220mm</t>
    </r>
  </si>
  <si>
    <r>
      <t xml:space="preserve">Feux de stop </t>
    </r>
    <r>
      <rPr>
        <sz val="14"/>
        <color theme="1"/>
        <rFont val="Calibri (Body)"/>
      </rPr>
      <t>Led</t>
    </r>
  </si>
  <si>
    <r>
      <t>Fourche</t>
    </r>
    <r>
      <rPr>
        <sz val="14"/>
        <color theme="1"/>
        <rFont val="Calibri (Body)"/>
      </rPr>
      <t xml:space="preserve"> 80 cm</t>
    </r>
  </si>
  <si>
    <r>
      <t>Lame ressort</t>
    </r>
    <r>
      <rPr>
        <sz val="14"/>
        <color theme="1"/>
        <rFont val="Calibri (Body)"/>
      </rPr>
      <t xml:space="preserve"> de 5 lame</t>
    </r>
  </si>
  <si>
    <t>Pièce</t>
  </si>
  <si>
    <t xml:space="preserve">Unité de mesure </t>
  </si>
  <si>
    <t xml:space="preserve">COMMANDE DE 20 TUC TUC POUR 6 MOIS </t>
  </si>
  <si>
    <t>Nbre Tuc Tuc</t>
  </si>
  <si>
    <t>Nbre Mois</t>
  </si>
  <si>
    <t>12 Mois</t>
  </si>
  <si>
    <t>Remboursement Banque 1 Pièce / 12 mois</t>
  </si>
  <si>
    <r>
      <t xml:space="preserve">Remboursement mensuel sur 12 mois </t>
    </r>
    <r>
      <rPr>
        <b/>
        <sz val="16"/>
        <color rgb="FFFF0000"/>
        <rFont val="Calibri (Body)"/>
      </rPr>
      <t>(BANQUE)</t>
    </r>
  </si>
  <si>
    <t>Apport propre Mugisho</t>
  </si>
  <si>
    <t>Mutation</t>
  </si>
  <si>
    <r>
      <rPr>
        <b/>
        <sz val="12"/>
        <color rgb="FFFF0000"/>
        <rFont val="Calibri (Body)"/>
      </rPr>
      <t>Remboursement Barry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2"/>
        <color rgb="FF0432FF"/>
        <rFont val="Calibri (Body)"/>
      </rPr>
      <t>LOYER MENSUEL</t>
    </r>
  </si>
  <si>
    <r>
      <t xml:space="preserve">Plan de motivation des chauffeurs : à partir du 25ème mois, ils commenceront à travailler pour l'achat du TUC TUC pendant 12 mois ou aussitôt qu'ils atteignent les </t>
    </r>
    <r>
      <rPr>
        <b/>
        <sz val="17"/>
        <color rgb="FFFF0000"/>
        <rFont val="Calibri (Body)"/>
      </rPr>
      <t xml:space="preserve">MGA 11.232.000 </t>
    </r>
    <r>
      <rPr>
        <b/>
        <sz val="11"/>
        <color rgb="FFFF0000"/>
        <rFont val="Calibri (Body)"/>
      </rPr>
      <t>(Versement de MGA 39.000 journalier)</t>
    </r>
    <r>
      <rPr>
        <b/>
        <sz val="17"/>
        <color rgb="FFFF0000"/>
        <rFont val="Calibri (Body)"/>
      </rPr>
      <t xml:space="preserve"> = $ 2.524
</t>
    </r>
    <r>
      <rPr>
        <b/>
        <sz val="17"/>
        <color theme="1"/>
        <rFont val="Calibri"/>
        <family val="2"/>
        <scheme val="minor"/>
      </rPr>
      <t xml:space="preserve">
</t>
    </r>
    <r>
      <rPr>
        <b/>
        <u/>
        <sz val="16"/>
        <color theme="1"/>
        <rFont val="Calibri (Body)"/>
      </rPr>
      <t xml:space="preserve">Objective de l'incentive :
</t>
    </r>
    <r>
      <rPr>
        <b/>
        <sz val="16"/>
        <color rgb="FF7030A0"/>
        <rFont val="Calibri (Body)"/>
      </rPr>
      <t xml:space="preserve">- Inciter le chauffeur à utiliser l'engin en bon père de famille : car il lui appartiendra in fine
- Fideliser le chauffeur dans mon organisation
- Discipliner les chauffeurs dans leurs versements de recettes
- Impacter mon personnel avec une action anthropophile et empathique qui leur permettra de posseder leurs propres Tuc Tuc
</t>
    </r>
    <r>
      <rPr>
        <b/>
        <u/>
        <sz val="16"/>
        <color theme="1"/>
        <rFont val="Calibri (Body)"/>
      </rPr>
      <t xml:space="preserve">
Conditions d'éligibilité :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6"/>
        <color rgb="FF0432FF"/>
        <rFont val="Calibri (Body)"/>
      </rPr>
      <t>- Avoir au moins 1 an d'ancienneté 
- Etre en ordre avec les versements au moins pendant les 6 derniers mois</t>
    </r>
    <r>
      <rPr>
        <b/>
        <sz val="16"/>
        <color rgb="FF0432FF"/>
        <rFont val="Calibri"/>
        <family val="2"/>
        <scheme val="minor"/>
      </rPr>
      <t xml:space="preserve">
- Accepter de prendre en charge toutes les dépenses (Entretien et charge batterie) du tuc tuc pendant la période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</si>
</sst>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[$MGA]\ * #,##0_);_([$MGA]\ * \(#,##0\);_([$MGA]\ * &quot;-&quot;_);_(@_)"/>
    <numFmt numFmtId="165" formatCode="_([$$-409]* #,##0.00_);_([$$-409]* \(#,##0.00\);_([$$-409]* &quot;-&quot;??_);_(@_)"/>
    <numFmt numFmtId="166" formatCode="[$-40C]mmmm\-yy;@"/>
    <numFmt numFmtId="167" formatCode="[$-40C]d\ mmmm\ yyyy;@"/>
    <numFmt numFmtId="168" formatCode="[$$-409]#,##0.00_);[Red]\([$$-409]#,##0.00\)"/>
    <numFmt numFmtId="169" formatCode="[$$-409]#,##0_);[Red]\([$$-409]#,##0\)"/>
  </numFmts>
  <fonts count="2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 (Body)"/>
    </font>
    <font>
      <b/>
      <u/>
      <sz val="16"/>
      <color theme="1"/>
      <name val="Calibri (Body)"/>
    </font>
    <font>
      <b/>
      <sz val="16"/>
      <color rgb="FF7030A0"/>
      <name val="Calibri (Body)"/>
    </font>
    <font>
      <b/>
      <sz val="16"/>
      <color rgb="FF0432FF"/>
      <name val="Calibri (Body)"/>
    </font>
    <font>
      <b/>
      <sz val="16"/>
      <color rgb="FF0432FF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7"/>
      <color rgb="FFFF0000"/>
      <name val="Calibri (Body)"/>
    </font>
    <font>
      <b/>
      <sz val="11"/>
      <color rgb="FFFF0000"/>
      <name val="Calibri (Body)"/>
    </font>
    <font>
      <b/>
      <sz val="16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0432FF"/>
      <name val="Calibri (Body)"/>
    </font>
    <font>
      <b/>
      <sz val="12"/>
      <color rgb="FFFF0000"/>
      <name val="Calibri (Body)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Body)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 wrapText="1"/>
    </xf>
    <xf numFmtId="0" fontId="1" fillId="8" borderId="1" xfId="0" applyFont="1" applyFill="1" applyBorder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0" fontId="3" fillId="5" borderId="20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167" fontId="0" fillId="0" borderId="12" xfId="0" applyNumberFormat="1" applyBorder="1" applyAlignment="1">
      <alignment horizontal="left" vertical="center"/>
    </xf>
    <xf numFmtId="167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 wrapText="1"/>
    </xf>
    <xf numFmtId="168" fontId="0" fillId="10" borderId="1" xfId="0" applyNumberFormat="1" applyFill="1" applyBorder="1" applyAlignment="1">
      <alignment horizontal="center" vertical="center"/>
    </xf>
    <xf numFmtId="168" fontId="0" fillId="10" borderId="3" xfId="0" applyNumberForma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4" fontId="0" fillId="0" borderId="1" xfId="0" applyNumberFormat="1" applyBorder="1"/>
    <xf numFmtId="165" fontId="0" fillId="12" borderId="1" xfId="0" applyNumberFormat="1" applyFill="1" applyBorder="1" applyAlignment="1">
      <alignment horizontal="center" vertical="center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165" fontId="1" fillId="0" borderId="43" xfId="0" applyNumberFormat="1" applyFont="1" applyBorder="1"/>
    <xf numFmtId="165" fontId="1" fillId="0" borderId="44" xfId="0" applyNumberFormat="1" applyFont="1" applyBorder="1"/>
    <xf numFmtId="165" fontId="1" fillId="0" borderId="9" xfId="0" applyNumberFormat="1" applyFont="1" applyBorder="1"/>
    <xf numFmtId="164" fontId="1" fillId="0" borderId="40" xfId="0" applyNumberFormat="1" applyFont="1" applyBorder="1"/>
    <xf numFmtId="164" fontId="1" fillId="0" borderId="41" xfId="0" applyNumberFormat="1" applyFont="1" applyBorder="1"/>
    <xf numFmtId="164" fontId="1" fillId="0" borderId="42" xfId="0" applyNumberFormat="1" applyFont="1" applyBorder="1"/>
    <xf numFmtId="0" fontId="1" fillId="0" borderId="10" xfId="0" applyFont="1" applyBorder="1"/>
    <xf numFmtId="164" fontId="1" fillId="13" borderId="1" xfId="0" applyNumberFormat="1" applyFont="1" applyFill="1" applyBorder="1"/>
    <xf numFmtId="165" fontId="1" fillId="13" borderId="1" xfId="0" applyNumberFormat="1" applyFont="1" applyFill="1" applyBorder="1"/>
    <xf numFmtId="164" fontId="1" fillId="8" borderId="1" xfId="0" applyNumberFormat="1" applyFont="1" applyFill="1" applyBorder="1" applyAlignment="1">
      <alignment vertical="center"/>
    </xf>
    <xf numFmtId="165" fontId="1" fillId="8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8" fillId="5" borderId="17" xfId="0" quotePrefix="1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164" fontId="19" fillId="0" borderId="6" xfId="0" applyNumberFormat="1" applyFont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166" fontId="9" fillId="0" borderId="0" xfId="0" applyNumberFormat="1" applyFont="1"/>
    <xf numFmtId="166" fontId="9" fillId="0" borderId="0" xfId="0" applyNumberFormat="1" applyFont="1" applyAlignment="1">
      <alignment horizontal="center" vertical="center"/>
    </xf>
    <xf numFmtId="166" fontId="20" fillId="0" borderId="0" xfId="0" applyNumberFormat="1" applyFont="1"/>
    <xf numFmtId="0" fontId="19" fillId="0" borderId="12" xfId="0" applyFont="1" applyBorder="1"/>
    <xf numFmtId="164" fontId="19" fillId="0" borderId="1" xfId="0" applyNumberFormat="1" applyFont="1" applyBorder="1" applyAlignment="1">
      <alignment horizontal="center" vertical="center"/>
    </xf>
    <xf numFmtId="165" fontId="9" fillId="2" borderId="11" xfId="0" applyNumberFormat="1" applyFont="1" applyFill="1" applyBorder="1" applyAlignment="1">
      <alignment horizontal="center" vertical="center"/>
    </xf>
    <xf numFmtId="0" fontId="19" fillId="0" borderId="31" xfId="0" applyFont="1" applyBorder="1"/>
    <xf numFmtId="164" fontId="19" fillId="0" borderId="10" xfId="0" applyNumberFormat="1" applyFont="1" applyBorder="1" applyAlignment="1">
      <alignment horizontal="center" vertical="center"/>
    </xf>
    <xf numFmtId="165" fontId="9" fillId="2" borderId="32" xfId="0" applyNumberFormat="1" applyFont="1" applyFill="1" applyBorder="1" applyAlignment="1">
      <alignment horizontal="center" vertical="center"/>
    </xf>
    <xf numFmtId="164" fontId="19" fillId="0" borderId="0" xfId="0" applyNumberFormat="1" applyFont="1"/>
    <xf numFmtId="0" fontId="19" fillId="0" borderId="2" xfId="0" applyFont="1" applyBorder="1" applyAlignment="1">
      <alignment wrapText="1"/>
    </xf>
    <xf numFmtId="164" fontId="19" fillId="0" borderId="3" xfId="0" applyNumberFormat="1" applyFont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wrapText="1"/>
    </xf>
    <xf numFmtId="164" fontId="9" fillId="4" borderId="14" xfId="0" applyNumberFormat="1" applyFont="1" applyFill="1" applyBorder="1" applyAlignment="1">
      <alignment vertical="center"/>
    </xf>
    <xf numFmtId="165" fontId="9" fillId="4" borderId="15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/>
    <xf numFmtId="165" fontId="9" fillId="2" borderId="1" xfId="0" applyNumberFormat="1" applyFont="1" applyFill="1" applyBorder="1" applyAlignment="1">
      <alignment horizontal="center" vertical="center"/>
    </xf>
    <xf numFmtId="164" fontId="19" fillId="0" borderId="22" xfId="0" applyNumberFormat="1" applyFont="1" applyBorder="1"/>
    <xf numFmtId="165" fontId="9" fillId="2" borderId="22" xfId="0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vertical="center"/>
    </xf>
    <xf numFmtId="166" fontId="9" fillId="0" borderId="27" xfId="0" applyNumberFormat="1" applyFont="1" applyBorder="1"/>
    <xf numFmtId="165" fontId="9" fillId="2" borderId="28" xfId="0" applyNumberFormat="1" applyFont="1" applyFill="1" applyBorder="1" applyAlignment="1">
      <alignment horizontal="center" vertical="center"/>
    </xf>
    <xf numFmtId="166" fontId="9" fillId="0" borderId="12" xfId="0" applyNumberFormat="1" applyFont="1" applyBorder="1"/>
    <xf numFmtId="0" fontId="1" fillId="15" borderId="1" xfId="0" applyFont="1" applyFill="1" applyBorder="1"/>
    <xf numFmtId="16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/>
    </xf>
    <xf numFmtId="168" fontId="0" fillId="0" borderId="11" xfId="0" applyNumberFormat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164" fontId="23" fillId="2" borderId="1" xfId="0" applyNumberFormat="1" applyFont="1" applyFill="1" applyBorder="1"/>
    <xf numFmtId="169" fontId="23" fillId="2" borderId="1" xfId="0" applyNumberFormat="1" applyFont="1" applyFill="1" applyBorder="1"/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164" fontId="25" fillId="0" borderId="1" xfId="0" applyNumberFormat="1" applyFont="1" applyBorder="1" applyAlignment="1">
      <alignment horizontal="center" vertical="center"/>
    </xf>
    <xf numFmtId="169" fontId="25" fillId="0" borderId="1" xfId="0" applyNumberFormat="1" applyFont="1" applyBorder="1"/>
    <xf numFmtId="0" fontId="2" fillId="7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164" fontId="24" fillId="2" borderId="1" xfId="0" applyNumberFormat="1" applyFont="1" applyFill="1" applyBorder="1" applyAlignment="1">
      <alignment vertical="center"/>
    </xf>
    <xf numFmtId="1" fontId="0" fillId="0" borderId="1" xfId="0" applyNumberFormat="1" applyBorder="1"/>
    <xf numFmtId="38" fontId="0" fillId="0" borderId="0" xfId="0" applyNumberFormat="1"/>
    <xf numFmtId="0" fontId="0" fillId="15" borderId="0" xfId="0" applyFill="1"/>
    <xf numFmtId="0" fontId="0" fillId="16" borderId="0" xfId="0" applyFill="1"/>
    <xf numFmtId="164" fontId="18" fillId="5" borderId="16" xfId="0" applyNumberFormat="1" applyFont="1" applyFill="1" applyBorder="1" applyAlignment="1">
      <alignment horizontal="right"/>
    </xf>
    <xf numFmtId="0" fontId="27" fillId="17" borderId="0" xfId="0" applyFont="1" applyFill="1" applyAlignment="1">
      <alignment horizontal="center" vertical="center"/>
    </xf>
    <xf numFmtId="167" fontId="0" fillId="9" borderId="12" xfId="0" applyNumberFormat="1" applyFill="1" applyBorder="1" applyAlignment="1">
      <alignment horizontal="left" vertical="center"/>
    </xf>
    <xf numFmtId="165" fontId="0" fillId="17" borderId="1" xfId="0" applyNumberFormat="1" applyFill="1" applyBorder="1" applyAlignment="1">
      <alignment horizontal="center" vertical="center"/>
    </xf>
    <xf numFmtId="165" fontId="0" fillId="0" borderId="0" xfId="0" applyNumberFormat="1"/>
    <xf numFmtId="167" fontId="0" fillId="0" borderId="1" xfId="0" applyNumberFormat="1" applyBorder="1" applyAlignment="1">
      <alignment horizontal="left" vertical="center"/>
    </xf>
    <xf numFmtId="0" fontId="1" fillId="13" borderId="21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166" fontId="9" fillId="3" borderId="45" xfId="0" applyNumberFormat="1" applyFont="1" applyFill="1" applyBorder="1" applyAlignment="1">
      <alignment horizontal="center" vertical="center" wrapText="1"/>
    </xf>
    <xf numFmtId="166" fontId="9" fillId="3" borderId="17" xfId="0" applyNumberFormat="1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/>
    </xf>
    <xf numFmtId="164" fontId="2" fillId="7" borderId="20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66" fontId="2" fillId="7" borderId="1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67" fontId="0" fillId="0" borderId="18" xfId="0" applyNumberFormat="1" applyBorder="1" applyAlignment="1">
      <alignment horizontal="center" vertical="center"/>
    </xf>
    <xf numFmtId="167" fontId="0" fillId="0" borderId="24" xfId="0" applyNumberForma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1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 wrapText="1"/>
    </xf>
    <xf numFmtId="0" fontId="6" fillId="7" borderId="22" xfId="0" applyFont="1" applyFill="1" applyBorder="1" applyAlignment="1">
      <alignment horizontal="center" vertical="center" wrapText="1"/>
    </xf>
    <xf numFmtId="168" fontId="1" fillId="10" borderId="22" xfId="0" applyNumberFormat="1" applyFont="1" applyFill="1" applyBorder="1" applyAlignment="1">
      <alignment horizontal="center" vertical="center" wrapText="1"/>
    </xf>
    <xf numFmtId="168" fontId="1" fillId="10" borderId="1" xfId="0" applyNumberFormat="1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68" fontId="1" fillId="0" borderId="28" xfId="0" applyNumberFormat="1" applyFont="1" applyBorder="1" applyAlignment="1">
      <alignment horizontal="center" vertical="center" wrapText="1"/>
    </xf>
    <xf numFmtId="168" fontId="1" fillId="0" borderId="11" xfId="0" applyNumberFormat="1" applyFont="1" applyBorder="1" applyAlignment="1">
      <alignment horizontal="center" vertical="center" wrapText="1"/>
    </xf>
    <xf numFmtId="167" fontId="1" fillId="9" borderId="13" xfId="0" applyNumberFormat="1" applyFont="1" applyFill="1" applyBorder="1" applyAlignment="1">
      <alignment horizontal="center" vertical="center" wrapText="1"/>
    </xf>
    <xf numFmtId="167" fontId="1" fillId="9" borderId="14" xfId="0" applyNumberFormat="1" applyFont="1" applyFill="1" applyBorder="1" applyAlignment="1">
      <alignment horizontal="center" vertical="center" wrapText="1"/>
    </xf>
    <xf numFmtId="167" fontId="1" fillId="9" borderId="15" xfId="0" applyNumberFormat="1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0" fontId="15" fillId="10" borderId="5" xfId="0" applyFont="1" applyFill="1" applyBorder="1" applyAlignment="1">
      <alignment horizontal="left" vertical="top" wrapText="1"/>
    </xf>
    <xf numFmtId="0" fontId="15" fillId="10" borderId="6" xfId="0" applyFont="1" applyFill="1" applyBorder="1" applyAlignment="1">
      <alignment horizontal="left" vertical="top" wrapText="1"/>
    </xf>
    <xf numFmtId="0" fontId="15" fillId="10" borderId="7" xfId="0" applyFont="1" applyFill="1" applyBorder="1" applyAlignment="1">
      <alignment horizontal="left" vertical="top" wrapText="1"/>
    </xf>
    <xf numFmtId="0" fontId="15" fillId="10" borderId="12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15" fillId="10" borderId="11" xfId="0" applyFont="1" applyFill="1" applyBorder="1" applyAlignment="1">
      <alignment horizontal="left" vertical="top" wrapText="1"/>
    </xf>
    <xf numFmtId="0" fontId="15" fillId="10" borderId="2" xfId="0" applyFont="1" applyFill="1" applyBorder="1" applyAlignment="1">
      <alignment horizontal="left" vertical="top" wrapText="1"/>
    </xf>
    <xf numFmtId="0" fontId="15" fillId="10" borderId="3" xfId="0" applyFont="1" applyFill="1" applyBorder="1" applyAlignment="1">
      <alignment horizontal="left" vertical="top" wrapText="1"/>
    </xf>
    <xf numFmtId="0" fontId="15" fillId="10" borderId="4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13" borderId="30" xfId="0" applyFont="1" applyFill="1" applyBorder="1" applyAlignment="1">
      <alignment horizontal="center" vertical="center"/>
    </xf>
    <xf numFmtId="0" fontId="8" fillId="13" borderId="39" xfId="0" applyFont="1" applyFill="1" applyBorder="1" applyAlignment="1">
      <alignment horizontal="center" vertical="center"/>
    </xf>
    <xf numFmtId="164" fontId="8" fillId="13" borderId="30" xfId="0" applyNumberFormat="1" applyFont="1" applyFill="1" applyBorder="1" applyAlignment="1">
      <alignment horizontal="center" vertical="center"/>
    </xf>
    <xf numFmtId="164" fontId="8" fillId="13" borderId="39" xfId="0" applyNumberFormat="1" applyFont="1" applyFill="1" applyBorder="1" applyAlignment="1">
      <alignment horizontal="center" vertical="center"/>
    </xf>
    <xf numFmtId="165" fontId="8" fillId="13" borderId="34" xfId="0" applyNumberFormat="1" applyFont="1" applyFill="1" applyBorder="1" applyAlignment="1">
      <alignment horizontal="center" vertical="center"/>
    </xf>
    <xf numFmtId="165" fontId="8" fillId="13" borderId="35" xfId="0" applyNumberFormat="1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/>
    </xf>
    <xf numFmtId="0" fontId="23" fillId="2" borderId="23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886A-8697-D44E-BCA2-EBC38CA14A9B}">
  <sheetPr>
    <tabColor rgb="FFFFC000"/>
  </sheetPr>
  <dimension ref="A1:G29"/>
  <sheetViews>
    <sheetView topLeftCell="B1" zoomScale="110" zoomScaleNormal="110" workbookViewId="0">
      <selection activeCell="F17" sqref="F17"/>
    </sheetView>
  </sheetViews>
  <sheetFormatPr baseColWidth="10" defaultColWidth="10.796875" defaultRowHeight="15.6"/>
  <cols>
    <col min="1" max="1" width="28.796875" style="2" bestFit="1" customWidth="1"/>
    <col min="2" max="2" width="10.796875" style="2"/>
    <col min="3" max="3" width="16.296875" style="5" bestFit="1" customWidth="1"/>
    <col min="4" max="4" width="11.5" style="6" bestFit="1" customWidth="1"/>
    <col min="5" max="5" width="10.796875" style="2"/>
    <col min="6" max="6" width="100.19921875" style="2" bestFit="1" customWidth="1"/>
    <col min="7" max="7" width="13.69921875" style="2" bestFit="1" customWidth="1"/>
    <col min="8" max="16384" width="10.796875" style="2"/>
  </cols>
  <sheetData>
    <row r="1" spans="1:7" ht="21">
      <c r="A1" s="132" t="s">
        <v>92</v>
      </c>
      <c r="B1" s="132"/>
      <c r="C1" s="132"/>
      <c r="D1" s="132"/>
    </row>
    <row r="2" spans="1:7">
      <c r="A2" s="1">
        <v>4450</v>
      </c>
      <c r="B2" s="1"/>
      <c r="C2" s="131" t="s">
        <v>27</v>
      </c>
      <c r="D2" s="131"/>
      <c r="F2" s="2" t="s">
        <v>97</v>
      </c>
    </row>
    <row r="3" spans="1:7">
      <c r="A3" s="24" t="s">
        <v>1</v>
      </c>
      <c r="B3" s="24" t="s">
        <v>2</v>
      </c>
      <c r="C3" s="25" t="s">
        <v>7</v>
      </c>
      <c r="D3" s="26" t="s">
        <v>8</v>
      </c>
      <c r="F3" s="2" t="s">
        <v>98</v>
      </c>
      <c r="G3" s="5"/>
    </row>
    <row r="4" spans="1:7">
      <c r="A4" s="1" t="s">
        <v>0</v>
      </c>
      <c r="B4" s="1" t="s">
        <v>5</v>
      </c>
      <c r="C4" s="3"/>
      <c r="D4" s="4">
        <f t="shared" ref="D4:D11" si="0">C4/A$2</f>
        <v>0</v>
      </c>
      <c r="E4" s="7"/>
      <c r="F4" s="2" t="s">
        <v>99</v>
      </c>
      <c r="G4" s="5"/>
    </row>
    <row r="5" spans="1:7">
      <c r="A5" s="1" t="s">
        <v>15</v>
      </c>
      <c r="B5" s="1" t="s">
        <v>5</v>
      </c>
      <c r="C5" s="3">
        <v>500000</v>
      </c>
      <c r="D5" s="4">
        <f t="shared" si="0"/>
        <v>112.35955056179775</v>
      </c>
      <c r="E5" s="7"/>
      <c r="F5" s="2" t="s">
        <v>100</v>
      </c>
      <c r="G5" s="5"/>
    </row>
    <row r="6" spans="1:7">
      <c r="A6" s="1" t="s">
        <v>16</v>
      </c>
      <c r="B6" s="1" t="s">
        <v>6</v>
      </c>
      <c r="C6" s="3">
        <v>200000</v>
      </c>
      <c r="D6" s="4">
        <f t="shared" si="0"/>
        <v>44.943820224719104</v>
      </c>
      <c r="F6" s="2" t="s">
        <v>101</v>
      </c>
    </row>
    <row r="7" spans="1:7">
      <c r="A7" s="1" t="s">
        <v>17</v>
      </c>
      <c r="B7" s="1" t="s">
        <v>6</v>
      </c>
      <c r="C7" s="3">
        <v>54000</v>
      </c>
      <c r="D7" s="4">
        <f t="shared" si="0"/>
        <v>12.134831460674157</v>
      </c>
      <c r="F7" s="2" t="s">
        <v>102</v>
      </c>
    </row>
    <row r="8" spans="1:7">
      <c r="A8" s="1" t="s">
        <v>18</v>
      </c>
      <c r="B8" s="1" t="s">
        <v>6</v>
      </c>
      <c r="C8" s="3">
        <v>70000</v>
      </c>
      <c r="D8" s="4">
        <f t="shared" si="0"/>
        <v>15.730337078651685</v>
      </c>
      <c r="F8" s="2" t="s">
        <v>103</v>
      </c>
    </row>
    <row r="9" spans="1:7">
      <c r="A9" s="1" t="s">
        <v>3</v>
      </c>
      <c r="B9" s="1" t="s">
        <v>6</v>
      </c>
      <c r="C9" s="3">
        <v>250000</v>
      </c>
      <c r="D9" s="4">
        <f t="shared" si="0"/>
        <v>56.179775280898873</v>
      </c>
    </row>
    <row r="10" spans="1:7">
      <c r="A10" s="1"/>
      <c r="B10" s="1"/>
      <c r="C10" s="3"/>
      <c r="D10" s="4">
        <f t="shared" si="0"/>
        <v>0</v>
      </c>
      <c r="F10" s="2" t="s">
        <v>104</v>
      </c>
    </row>
    <row r="11" spans="1:7">
      <c r="A11" s="129" t="s">
        <v>14</v>
      </c>
      <c r="B11" s="130"/>
      <c r="C11" s="62">
        <f>SUM(C4:C10)</f>
        <v>1074000</v>
      </c>
      <c r="D11" s="63">
        <f t="shared" si="0"/>
        <v>241.34831460674158</v>
      </c>
    </row>
    <row r="12" spans="1:7">
      <c r="F12" s="2" t="s">
        <v>105</v>
      </c>
    </row>
    <row r="13" spans="1:7">
      <c r="F13" s="2" t="s">
        <v>106</v>
      </c>
    </row>
    <row r="15" spans="1:7">
      <c r="F15" s="2" t="s">
        <v>107</v>
      </c>
    </row>
    <row r="16" spans="1:7">
      <c r="F16" s="2" t="s">
        <v>108</v>
      </c>
    </row>
    <row r="17" spans="1:6" ht="21">
      <c r="A17" s="132" t="s">
        <v>92</v>
      </c>
      <c r="B17" s="132"/>
      <c r="C17" s="132"/>
      <c r="D17" s="132"/>
    </row>
    <row r="18" spans="1:6">
      <c r="A18" s="1">
        <v>4450</v>
      </c>
      <c r="B18" s="1"/>
      <c r="C18" s="131" t="s">
        <v>27</v>
      </c>
      <c r="D18" s="131"/>
      <c r="F18" s="2" t="s">
        <v>109</v>
      </c>
    </row>
    <row r="19" spans="1:6">
      <c r="A19" s="24" t="s">
        <v>1</v>
      </c>
      <c r="B19" s="24" t="s">
        <v>2</v>
      </c>
      <c r="C19" s="25" t="s">
        <v>7</v>
      </c>
      <c r="D19" s="26" t="s">
        <v>8</v>
      </c>
    </row>
    <row r="20" spans="1:6">
      <c r="A20" s="1" t="s">
        <v>16</v>
      </c>
      <c r="B20" s="1" t="s">
        <v>6</v>
      </c>
      <c r="C20" s="3">
        <v>150000</v>
      </c>
      <c r="D20" s="4">
        <f t="shared" ref="D20:D29" si="1">C20/A$2</f>
        <v>33.707865168539328</v>
      </c>
    </row>
    <row r="21" spans="1:6">
      <c r="A21" s="1" t="s">
        <v>113</v>
      </c>
      <c r="B21" s="1" t="s">
        <v>5</v>
      </c>
      <c r="C21" s="3">
        <v>550000</v>
      </c>
      <c r="D21" s="4">
        <f t="shared" si="1"/>
        <v>123.59550561797752</v>
      </c>
    </row>
    <row r="22" spans="1:6">
      <c r="A22" s="1" t="s">
        <v>110</v>
      </c>
      <c r="B22" s="1" t="s">
        <v>6</v>
      </c>
      <c r="C22" s="3">
        <v>20000</v>
      </c>
      <c r="D22" s="4">
        <f t="shared" si="1"/>
        <v>4.4943820224719104</v>
      </c>
    </row>
    <row r="23" spans="1:6">
      <c r="A23" s="1" t="s">
        <v>17</v>
      </c>
      <c r="B23" s="1" t="s">
        <v>6</v>
      </c>
      <c r="C23" s="3">
        <v>54000</v>
      </c>
      <c r="D23" s="4">
        <f t="shared" si="1"/>
        <v>12.134831460674157</v>
      </c>
    </row>
    <row r="24" spans="1:6">
      <c r="A24" s="1" t="s">
        <v>18</v>
      </c>
      <c r="B24" s="1" t="s">
        <v>6</v>
      </c>
      <c r="C24" s="3">
        <v>70000</v>
      </c>
      <c r="D24" s="4">
        <f t="shared" si="1"/>
        <v>15.730337078651685</v>
      </c>
    </row>
    <row r="25" spans="1:6">
      <c r="A25" s="1" t="s">
        <v>111</v>
      </c>
      <c r="B25" s="1" t="s">
        <v>6</v>
      </c>
      <c r="C25" s="3">
        <v>300000</v>
      </c>
      <c r="D25" s="4">
        <f t="shared" si="1"/>
        <v>67.415730337078656</v>
      </c>
    </row>
    <row r="26" spans="1:6">
      <c r="A26" s="99" t="s">
        <v>112</v>
      </c>
      <c r="B26" s="1" t="s">
        <v>6</v>
      </c>
      <c r="C26" s="3">
        <v>20000</v>
      </c>
      <c r="D26" s="4">
        <f t="shared" si="1"/>
        <v>4.4943820224719104</v>
      </c>
    </row>
    <row r="27" spans="1:6">
      <c r="A27" s="1"/>
      <c r="B27" s="1"/>
      <c r="C27" s="3"/>
      <c r="D27" s="4"/>
    </row>
    <row r="28" spans="1:6">
      <c r="A28" s="1"/>
      <c r="B28" s="1"/>
      <c r="C28" s="3"/>
      <c r="D28" s="4">
        <f t="shared" si="1"/>
        <v>0</v>
      </c>
    </row>
    <row r="29" spans="1:6">
      <c r="A29" s="129" t="s">
        <v>14</v>
      </c>
      <c r="B29" s="130"/>
      <c r="C29" s="62">
        <f>SUM(C20:C28)</f>
        <v>1164000</v>
      </c>
      <c r="D29" s="63">
        <f t="shared" si="1"/>
        <v>261.57303370786519</v>
      </c>
    </row>
  </sheetData>
  <mergeCells count="6">
    <mergeCell ref="A29:B29"/>
    <mergeCell ref="C2:D2"/>
    <mergeCell ref="A11:B11"/>
    <mergeCell ref="A1:D1"/>
    <mergeCell ref="A17:D17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599E-0DB0-FC48-8D87-6968AC5B3A7A}">
  <sheetPr>
    <tabColor rgb="FFFF0000"/>
  </sheetPr>
  <dimension ref="A1:BH18"/>
  <sheetViews>
    <sheetView zoomScale="110" zoomScaleNormal="110" workbookViewId="0">
      <pane xSplit="5" ySplit="5" topLeftCell="H13" activePane="bottomRight" state="frozen"/>
      <selection pane="topRight" activeCell="E1" sqref="E1"/>
      <selection pane="bottomLeft" activeCell="A6" sqref="A6"/>
      <selection pane="bottomRight" activeCell="G1" sqref="G1:I5"/>
    </sheetView>
  </sheetViews>
  <sheetFormatPr baseColWidth="10" defaultColWidth="10.796875" defaultRowHeight="21"/>
  <cols>
    <col min="1" max="1" width="17" style="71" bestFit="1" customWidth="1"/>
    <col min="2" max="2" width="21.5" style="71" bestFit="1" customWidth="1"/>
    <col min="3" max="3" width="16.3984375" style="71" customWidth="1"/>
    <col min="4" max="4" width="25.19921875" style="71" customWidth="1"/>
    <col min="5" max="5" width="21.69921875" style="71" customWidth="1"/>
    <col min="6" max="6" width="11.5" style="71" bestFit="1" customWidth="1"/>
    <col min="7" max="7" width="34.69921875" style="71" customWidth="1"/>
    <col min="8" max="8" width="22.69921875" style="71" bestFit="1" customWidth="1"/>
    <col min="9" max="9" width="15.69921875" style="71" bestFit="1" customWidth="1"/>
    <col min="10" max="10" width="11.5" style="71" bestFit="1" customWidth="1"/>
    <col min="11" max="11" width="17.296875" style="71" bestFit="1" customWidth="1"/>
    <col min="12" max="12" width="11.5" style="71" bestFit="1" customWidth="1"/>
    <col min="13" max="13" width="17.296875" style="71" bestFit="1" customWidth="1"/>
    <col min="14" max="14" width="11.5" style="71" bestFit="1" customWidth="1"/>
    <col min="15" max="15" width="17.296875" style="71" bestFit="1" customWidth="1"/>
    <col min="16" max="16" width="11.5" style="71" bestFit="1" customWidth="1"/>
    <col min="17" max="17" width="17.296875" style="71" bestFit="1" customWidth="1"/>
    <col min="18" max="18" width="11.5" style="71" bestFit="1" customWidth="1"/>
    <col min="19" max="19" width="17.296875" style="71" bestFit="1" customWidth="1"/>
    <col min="20" max="20" width="11.5" style="71" bestFit="1" customWidth="1"/>
    <col min="21" max="21" width="17.296875" style="71" bestFit="1" customWidth="1"/>
    <col min="22" max="22" width="11.5" style="71" bestFit="1" customWidth="1"/>
    <col min="23" max="23" width="17.296875" style="71" bestFit="1" customWidth="1"/>
    <col min="24" max="24" width="11.5" style="71" bestFit="1" customWidth="1"/>
    <col min="25" max="25" width="17.296875" style="71" bestFit="1" customWidth="1"/>
    <col min="26" max="26" width="11.5" style="71" bestFit="1" customWidth="1"/>
    <col min="27" max="27" width="17.296875" style="71" bestFit="1" customWidth="1"/>
    <col min="28" max="28" width="11.5" style="71" bestFit="1" customWidth="1"/>
    <col min="29" max="29" width="17.296875" style="71" bestFit="1" customWidth="1"/>
    <col min="30" max="30" width="11.5" style="71" bestFit="1" customWidth="1"/>
    <col min="31" max="31" width="17.296875" style="71" bestFit="1" customWidth="1"/>
    <col min="32" max="32" width="11.5" style="71" bestFit="1" customWidth="1"/>
    <col min="33" max="33" width="17.296875" style="71" bestFit="1" customWidth="1"/>
    <col min="34" max="34" width="11.5" style="71" bestFit="1" customWidth="1"/>
    <col min="35" max="35" width="17.296875" style="71" bestFit="1" customWidth="1"/>
    <col min="36" max="36" width="10.796875" style="71"/>
    <col min="37" max="37" width="17.296875" style="71" bestFit="1" customWidth="1"/>
    <col min="38" max="38" width="11.5" style="71" bestFit="1" customWidth="1"/>
    <col min="39" max="39" width="17.296875" style="71" bestFit="1" customWidth="1"/>
    <col min="40" max="40" width="11.5" style="71" bestFit="1" customWidth="1"/>
    <col min="41" max="16384" width="10.796875" style="71"/>
  </cols>
  <sheetData>
    <row r="1" spans="1:60" ht="21.6" thickBot="1">
      <c r="A1" s="123">
        <v>4450</v>
      </c>
      <c r="B1" s="69" t="s">
        <v>12</v>
      </c>
      <c r="C1" s="70"/>
      <c r="D1" s="70"/>
      <c r="G1" s="72" t="s">
        <v>9</v>
      </c>
      <c r="H1" s="73">
        <v>110000000</v>
      </c>
      <c r="I1" s="74">
        <f>H1/$A$1</f>
        <v>24719.101123595505</v>
      </c>
    </row>
    <row r="2" spans="1:60" s="75" customFormat="1" ht="21.6" thickBot="1">
      <c r="B2" s="76"/>
      <c r="C2" s="76"/>
      <c r="D2" s="76"/>
      <c r="F2" s="77"/>
      <c r="G2" s="78" t="s">
        <v>10</v>
      </c>
      <c r="H2" s="79">
        <f>H1*15%</f>
        <v>16500000</v>
      </c>
      <c r="I2" s="80">
        <f>H2/$A$1</f>
        <v>3707.8651685393256</v>
      </c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</row>
    <row r="3" spans="1:60">
      <c r="A3" s="133" t="s">
        <v>96</v>
      </c>
      <c r="B3" s="134"/>
      <c r="C3" s="134"/>
      <c r="D3" s="134"/>
      <c r="E3" s="135"/>
      <c r="F3" s="77"/>
      <c r="G3" s="81" t="s">
        <v>78</v>
      </c>
      <c r="H3" s="82" t="s">
        <v>160</v>
      </c>
      <c r="I3" s="83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84"/>
      <c r="BH3" s="84"/>
    </row>
    <row r="4" spans="1:60" ht="21.6" thickBot="1">
      <c r="A4" s="136"/>
      <c r="B4" s="137"/>
      <c r="C4" s="137"/>
      <c r="D4" s="137"/>
      <c r="E4" s="138"/>
      <c r="F4" s="77"/>
      <c r="G4" s="85" t="s">
        <v>11</v>
      </c>
      <c r="H4" s="86">
        <f>SUM(H1:H2)</f>
        <v>126500000</v>
      </c>
      <c r="I4" s="87">
        <f>H4/$A$1</f>
        <v>28426.966292134832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84"/>
      <c r="BH4" s="84"/>
    </row>
    <row r="5" spans="1:60" ht="42.6" thickBot="1">
      <c r="A5" s="143"/>
      <c r="B5" s="143"/>
      <c r="C5" s="143"/>
      <c r="D5" s="143"/>
      <c r="E5" s="143"/>
      <c r="F5" s="77"/>
      <c r="G5" s="88" t="s">
        <v>162</v>
      </c>
      <c r="H5" s="89">
        <f>H4/12</f>
        <v>10541666.666666666</v>
      </c>
      <c r="I5" s="90">
        <f>H5/$A$1</f>
        <v>2368.9138576779023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84"/>
      <c r="BH5" s="84"/>
    </row>
    <row r="6" spans="1:60" ht="43.95" customHeight="1" thickBot="1">
      <c r="A6" s="95"/>
      <c r="B6" s="139" t="s">
        <v>94</v>
      </c>
      <c r="C6" s="140"/>
      <c r="D6" s="141" t="s">
        <v>95</v>
      </c>
      <c r="E6" s="142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</row>
    <row r="7" spans="1:60">
      <c r="A7" s="96">
        <v>45992</v>
      </c>
      <c r="B7" s="93">
        <f t="shared" ref="B7:B18" si="0">$H$5</f>
        <v>10541666.666666666</v>
      </c>
      <c r="C7" s="94">
        <f>B7/$A$1</f>
        <v>2368.9138576779023</v>
      </c>
      <c r="D7" s="93">
        <f>$H$4-B7</f>
        <v>115958333.33333333</v>
      </c>
      <c r="E7" s="97">
        <f>D7/$A$1</f>
        <v>26058.052434456928</v>
      </c>
    </row>
    <row r="8" spans="1:60">
      <c r="A8" s="98">
        <f>A7+31</f>
        <v>46023</v>
      </c>
      <c r="B8" s="91">
        <f t="shared" si="0"/>
        <v>10541666.666666666</v>
      </c>
      <c r="C8" s="92">
        <f t="shared" ref="C8:C18" si="1">B8/$A$1</f>
        <v>2368.9138576779023</v>
      </c>
      <c r="D8" s="91">
        <f>D7-B8</f>
        <v>105416666.66666666</v>
      </c>
      <c r="E8" s="80">
        <f t="shared" ref="E8:E18" si="2">D8/$A$1</f>
        <v>23689.138576779023</v>
      </c>
    </row>
    <row r="9" spans="1:60">
      <c r="A9" s="98">
        <f t="shared" ref="A9:A18" si="3">A8+31</f>
        <v>46054</v>
      </c>
      <c r="B9" s="91">
        <f t="shared" si="0"/>
        <v>10541666.666666666</v>
      </c>
      <c r="C9" s="92">
        <f t="shared" si="1"/>
        <v>2368.9138576779023</v>
      </c>
      <c r="D9" s="91">
        <f t="shared" ref="D9:D18" si="4">D8-B9</f>
        <v>94874999.999999985</v>
      </c>
      <c r="E9" s="80">
        <f t="shared" si="2"/>
        <v>21320.224719101119</v>
      </c>
    </row>
    <row r="10" spans="1:60">
      <c r="A10" s="98">
        <f t="shared" si="3"/>
        <v>46085</v>
      </c>
      <c r="B10" s="91">
        <f t="shared" si="0"/>
        <v>10541666.666666666</v>
      </c>
      <c r="C10" s="92">
        <f t="shared" si="1"/>
        <v>2368.9138576779023</v>
      </c>
      <c r="D10" s="91">
        <f t="shared" si="4"/>
        <v>84333333.333333313</v>
      </c>
      <c r="E10" s="80">
        <f t="shared" si="2"/>
        <v>18951.310861423215</v>
      </c>
    </row>
    <row r="11" spans="1:60">
      <c r="A11" s="98">
        <f t="shared" si="3"/>
        <v>46116</v>
      </c>
      <c r="B11" s="91">
        <f t="shared" si="0"/>
        <v>10541666.666666666</v>
      </c>
      <c r="C11" s="92">
        <f t="shared" si="1"/>
        <v>2368.9138576779023</v>
      </c>
      <c r="D11" s="91">
        <f t="shared" si="4"/>
        <v>73791666.666666642</v>
      </c>
      <c r="E11" s="80">
        <f t="shared" si="2"/>
        <v>16582.397003745315</v>
      </c>
    </row>
    <row r="12" spans="1:60">
      <c r="A12" s="98">
        <f t="shared" si="3"/>
        <v>46147</v>
      </c>
      <c r="B12" s="91">
        <f t="shared" si="0"/>
        <v>10541666.666666666</v>
      </c>
      <c r="C12" s="92">
        <f t="shared" si="1"/>
        <v>2368.9138576779023</v>
      </c>
      <c r="D12" s="91">
        <f t="shared" si="4"/>
        <v>63249999.999999978</v>
      </c>
      <c r="E12" s="80">
        <f t="shared" si="2"/>
        <v>14213.48314606741</v>
      </c>
    </row>
    <row r="13" spans="1:60">
      <c r="A13" s="98">
        <f t="shared" si="3"/>
        <v>46178</v>
      </c>
      <c r="B13" s="91">
        <f t="shared" si="0"/>
        <v>10541666.666666666</v>
      </c>
      <c r="C13" s="92">
        <f t="shared" si="1"/>
        <v>2368.9138576779023</v>
      </c>
      <c r="D13" s="91">
        <f t="shared" si="4"/>
        <v>52708333.333333313</v>
      </c>
      <c r="E13" s="80">
        <f t="shared" si="2"/>
        <v>11844.569288389508</v>
      </c>
    </row>
    <row r="14" spans="1:60">
      <c r="A14" s="98">
        <f t="shared" si="3"/>
        <v>46209</v>
      </c>
      <c r="B14" s="91">
        <f t="shared" si="0"/>
        <v>10541666.666666666</v>
      </c>
      <c r="C14" s="92">
        <f t="shared" si="1"/>
        <v>2368.9138576779023</v>
      </c>
      <c r="D14" s="91">
        <f t="shared" si="4"/>
        <v>42166666.666666649</v>
      </c>
      <c r="E14" s="80">
        <f t="shared" si="2"/>
        <v>9475.6554307116057</v>
      </c>
    </row>
    <row r="15" spans="1:60">
      <c r="A15" s="98">
        <f t="shared" si="3"/>
        <v>46240</v>
      </c>
      <c r="B15" s="91">
        <f t="shared" si="0"/>
        <v>10541666.666666666</v>
      </c>
      <c r="C15" s="92">
        <f t="shared" si="1"/>
        <v>2368.9138576779023</v>
      </c>
      <c r="D15" s="91">
        <f t="shared" si="4"/>
        <v>31624999.999999985</v>
      </c>
      <c r="E15" s="80">
        <f t="shared" si="2"/>
        <v>7106.7415730337043</v>
      </c>
    </row>
    <row r="16" spans="1:60">
      <c r="A16" s="98">
        <f t="shared" si="3"/>
        <v>46271</v>
      </c>
      <c r="B16" s="91">
        <f t="shared" si="0"/>
        <v>10541666.666666666</v>
      </c>
      <c r="C16" s="92">
        <f t="shared" si="1"/>
        <v>2368.9138576779023</v>
      </c>
      <c r="D16" s="91">
        <f t="shared" si="4"/>
        <v>21083333.333333321</v>
      </c>
      <c r="E16" s="80">
        <f t="shared" si="2"/>
        <v>4737.8277153558029</v>
      </c>
    </row>
    <row r="17" spans="1:5">
      <c r="A17" s="98">
        <f t="shared" si="3"/>
        <v>46302</v>
      </c>
      <c r="B17" s="91">
        <f t="shared" si="0"/>
        <v>10541666.666666666</v>
      </c>
      <c r="C17" s="92">
        <f t="shared" si="1"/>
        <v>2368.9138576779023</v>
      </c>
      <c r="D17" s="91">
        <f t="shared" si="4"/>
        <v>10541666.666666655</v>
      </c>
      <c r="E17" s="80">
        <f t="shared" si="2"/>
        <v>2368.9138576779001</v>
      </c>
    </row>
    <row r="18" spans="1:5">
      <c r="A18" s="98">
        <f t="shared" si="3"/>
        <v>46333</v>
      </c>
      <c r="B18" s="91">
        <f t="shared" si="0"/>
        <v>10541666.666666666</v>
      </c>
      <c r="C18" s="92">
        <f t="shared" si="1"/>
        <v>2368.9138576779023</v>
      </c>
      <c r="D18" s="91">
        <f t="shared" si="4"/>
        <v>0</v>
      </c>
      <c r="E18" s="80">
        <f t="shared" si="2"/>
        <v>0</v>
      </c>
    </row>
  </sheetData>
  <mergeCells count="4">
    <mergeCell ref="A3:E4"/>
    <mergeCell ref="B6:C6"/>
    <mergeCell ref="D6:E6"/>
    <mergeCell ref="A5:E5"/>
  </mergeCells>
  <pageMargins left="0.7" right="0.7" top="0.75" bottom="0.75" header="0.3" footer="0.3"/>
  <pageSetup paperSize="9" orientation="portrait" r:id="rId1"/>
  <ignoredErrors>
    <ignoredError sqref="D7:D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BB43-1BC3-1F48-8C0D-F8DCB985760F}">
  <sheetPr>
    <tabColor rgb="FF0432FF"/>
  </sheetPr>
  <dimension ref="A1:U50"/>
  <sheetViews>
    <sheetView zoomScale="82" zoomScaleNormal="52" workbookViewId="0">
      <pane xSplit="2" ySplit="12" topLeftCell="C39" activePane="bottomRight" state="frozen"/>
      <selection pane="topRight" activeCell="C1" sqref="C1"/>
      <selection pane="bottomLeft" activeCell="A13" sqref="A13"/>
      <selection pane="bottomRight" activeCell="O10" sqref="O10:S48"/>
    </sheetView>
  </sheetViews>
  <sheetFormatPr baseColWidth="10" defaultColWidth="10.796875" defaultRowHeight="15.6"/>
  <cols>
    <col min="1" max="1" width="17.19921875" style="22" bestFit="1" customWidth="1"/>
    <col min="2" max="2" width="4.69921875" style="8" customWidth="1"/>
    <col min="3" max="3" width="11.69921875" style="8" customWidth="1"/>
    <col min="4" max="4" width="16.296875" style="8" customWidth="1"/>
    <col min="5" max="5" width="12.19921875" style="8" bestFit="1" customWidth="1"/>
    <col min="6" max="6" width="11.69921875" style="8" customWidth="1"/>
    <col min="7" max="7" width="13.796875" style="8" customWidth="1"/>
    <col min="8" max="8" width="11.69921875" style="8" customWidth="1"/>
    <col min="9" max="9" width="16.296875" style="8" bestFit="1" customWidth="1"/>
    <col min="10" max="10" width="11.69921875" style="8" bestFit="1" customWidth="1"/>
    <col min="11" max="11" width="11.69921875" style="43" bestFit="1" customWidth="1"/>
    <col min="12" max="12" width="12.19921875" style="8" bestFit="1" customWidth="1"/>
    <col min="13" max="13" width="15.296875" style="43" customWidth="1"/>
    <col min="14" max="14" width="10" style="8" customWidth="1"/>
    <col min="15" max="15" width="17.19921875" style="8" bestFit="1" customWidth="1"/>
    <col min="16" max="16" width="13.69921875" style="8" bestFit="1" customWidth="1"/>
    <col min="17" max="17" width="13.296875" style="8" hidden="1" customWidth="1"/>
    <col min="18" max="18" width="0" style="8" hidden="1" customWidth="1"/>
    <col min="19" max="19" width="11.5" style="8" bestFit="1" customWidth="1"/>
    <col min="20" max="16384" width="10.796875" style="8"/>
  </cols>
  <sheetData>
    <row r="1" spans="1:21">
      <c r="B1" s="28" t="s">
        <v>25</v>
      </c>
      <c r="C1" s="27">
        <v>4450</v>
      </c>
      <c r="D1" s="144" t="s">
        <v>27</v>
      </c>
      <c r="E1" s="145"/>
      <c r="G1" s="147" t="s">
        <v>38</v>
      </c>
      <c r="H1" s="147"/>
      <c r="I1" s="147"/>
      <c r="J1" s="148"/>
      <c r="L1" s="152" t="s">
        <v>29</v>
      </c>
      <c r="M1" s="152"/>
      <c r="N1" s="152"/>
      <c r="O1" s="152"/>
      <c r="P1" s="152"/>
    </row>
    <row r="2" spans="1:21">
      <c r="A2" s="155"/>
      <c r="B2" s="155"/>
      <c r="C2" s="156"/>
      <c r="D2" s="47" t="s">
        <v>7</v>
      </c>
      <c r="E2" s="48" t="s">
        <v>8</v>
      </c>
      <c r="G2" s="154" t="s">
        <v>19</v>
      </c>
      <c r="H2" s="154"/>
      <c r="I2" s="29">
        <f>5000*30</f>
        <v>150000</v>
      </c>
      <c r="J2" s="30">
        <f>I2/$C$1</f>
        <v>33.707865168539328</v>
      </c>
      <c r="L2" s="151" t="s">
        <v>1</v>
      </c>
      <c r="M2" s="151"/>
      <c r="N2" s="151"/>
      <c r="O2" s="25" t="s">
        <v>7</v>
      </c>
      <c r="P2" s="26" t="s">
        <v>8</v>
      </c>
    </row>
    <row r="3" spans="1:21">
      <c r="A3" s="153" t="s">
        <v>0</v>
      </c>
      <c r="B3" s="153"/>
      <c r="C3" s="153"/>
      <c r="D3" s="11">
        <v>17000000</v>
      </c>
      <c r="E3" s="9">
        <f>D3/$C$1</f>
        <v>3820.2247191011238</v>
      </c>
      <c r="F3" s="12"/>
      <c r="G3" s="154" t="s">
        <v>28</v>
      </c>
      <c r="H3" s="154"/>
      <c r="I3" s="29">
        <v>100000</v>
      </c>
      <c r="J3" s="30">
        <f>I3/$C$1</f>
        <v>22.471910112359552</v>
      </c>
      <c r="L3" s="150" t="s">
        <v>16</v>
      </c>
      <c r="M3" s="150"/>
      <c r="N3" s="150"/>
      <c r="O3" s="3">
        <v>200000</v>
      </c>
      <c r="P3" s="4">
        <f t="shared" ref="P3:P7" si="0">O3/$C$1</f>
        <v>44.943820224719104</v>
      </c>
    </row>
    <row r="4" spans="1:21">
      <c r="A4" s="153" t="s">
        <v>114</v>
      </c>
      <c r="B4" s="153"/>
      <c r="C4" s="153"/>
      <c r="D4" s="11">
        <v>66000</v>
      </c>
      <c r="E4" s="9">
        <f>D4/$C$1</f>
        <v>14.831460674157304</v>
      </c>
      <c r="G4" s="154" t="s">
        <v>35</v>
      </c>
      <c r="H4" s="154"/>
      <c r="I4" s="29">
        <v>65000</v>
      </c>
      <c r="J4" s="30">
        <f>I4/$C$1</f>
        <v>14.606741573033707</v>
      </c>
      <c r="L4" s="150" t="s">
        <v>17</v>
      </c>
      <c r="M4" s="150"/>
      <c r="N4" s="150"/>
      <c r="O4" s="3">
        <f>54000*3</f>
        <v>162000</v>
      </c>
      <c r="P4" s="4">
        <f t="shared" si="0"/>
        <v>36.40449438202247</v>
      </c>
    </row>
    <row r="5" spans="1:21">
      <c r="A5" s="153" t="s">
        <v>115</v>
      </c>
      <c r="B5" s="153"/>
      <c r="C5" s="153"/>
      <c r="D5" s="11">
        <v>50000</v>
      </c>
      <c r="E5" s="9">
        <f>D5/$C$1</f>
        <v>11.235955056179776</v>
      </c>
      <c r="G5" s="154" t="s">
        <v>39</v>
      </c>
      <c r="H5" s="154"/>
      <c r="I5" s="29">
        <f>(D4*5%)*26</f>
        <v>85800</v>
      </c>
      <c r="J5" s="30">
        <f>I5/$C$1</f>
        <v>19.280898876404493</v>
      </c>
      <c r="L5" s="150" t="s">
        <v>18</v>
      </c>
      <c r="M5" s="150"/>
      <c r="N5" s="150"/>
      <c r="O5" s="3">
        <v>100000</v>
      </c>
      <c r="P5" s="4">
        <f t="shared" si="0"/>
        <v>22.471910112359552</v>
      </c>
    </row>
    <row r="6" spans="1:21" ht="16.05" customHeight="1">
      <c r="A6" s="153" t="s">
        <v>118</v>
      </c>
      <c r="B6" s="153"/>
      <c r="C6" s="153"/>
      <c r="D6" s="11">
        <f>(D4*26)</f>
        <v>1716000</v>
      </c>
      <c r="E6" s="9">
        <f>D6/$C$1</f>
        <v>385.61797752808991</v>
      </c>
      <c r="G6" s="146" t="s">
        <v>77</v>
      </c>
      <c r="H6" s="146"/>
      <c r="I6" s="19">
        <f>SUM(I1:I5)</f>
        <v>400800</v>
      </c>
      <c r="J6" s="16">
        <f>I6/$C$1</f>
        <v>90.067415730337075</v>
      </c>
      <c r="L6" s="150" t="s">
        <v>3</v>
      </c>
      <c r="M6" s="150"/>
      <c r="N6" s="150"/>
      <c r="O6" s="3">
        <v>300000</v>
      </c>
      <c r="P6" s="4">
        <f t="shared" si="0"/>
        <v>67.415730337078656</v>
      </c>
    </row>
    <row r="7" spans="1:21" s="14" customFormat="1" ht="16.05" customHeight="1">
      <c r="A7" s="153" t="s">
        <v>117</v>
      </c>
      <c r="B7" s="153"/>
      <c r="C7" s="153"/>
      <c r="D7" s="11">
        <f>(D4*26)+(D5*4)</f>
        <v>1916000</v>
      </c>
      <c r="E7" s="9">
        <f>D7/$C$1</f>
        <v>430.56179775280901</v>
      </c>
      <c r="K7" s="44"/>
      <c r="L7" s="150" t="s">
        <v>4</v>
      </c>
      <c r="M7" s="150"/>
      <c r="N7" s="150"/>
      <c r="O7" s="3"/>
      <c r="P7" s="4">
        <f t="shared" si="0"/>
        <v>0</v>
      </c>
    </row>
    <row r="8" spans="1:21" s="14" customFormat="1" ht="16.05" customHeight="1">
      <c r="A8" s="23"/>
      <c r="F8" s="149" t="s">
        <v>161</v>
      </c>
      <c r="G8" s="149"/>
      <c r="H8" s="149"/>
      <c r="I8" s="18">
        <f>('Crédit Banque'!B7)/7</f>
        <v>1505952.3809523808</v>
      </c>
      <c r="J8" s="10">
        <f>I8/$C$1</f>
        <v>338.41626538255747</v>
      </c>
      <c r="K8" s="44"/>
      <c r="L8" s="168" t="s">
        <v>26</v>
      </c>
      <c r="M8" s="169"/>
      <c r="N8" s="170"/>
      <c r="O8" s="19">
        <f>SUM(O3:O7)</f>
        <v>762000</v>
      </c>
      <c r="P8" s="16">
        <f>SUM(P3:P7)</f>
        <v>171.23595505617979</v>
      </c>
      <c r="Q8" s="8"/>
    </row>
    <row r="9" spans="1:21" s="14" customFormat="1" ht="16.2" thickBot="1">
      <c r="A9" s="23"/>
      <c r="K9" s="44"/>
      <c r="M9" s="44"/>
      <c r="R9" s="8"/>
    </row>
    <row r="10" spans="1:21" s="14" customFormat="1" ht="16.05" customHeight="1" thickBot="1">
      <c r="A10" s="178" t="s">
        <v>36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80"/>
      <c r="O10" s="161" t="s">
        <v>37</v>
      </c>
      <c r="P10" s="162"/>
      <c r="Q10" s="162"/>
      <c r="R10" s="162"/>
      <c r="S10" s="163"/>
    </row>
    <row r="11" spans="1:21" ht="28.05" customHeight="1">
      <c r="A11" s="157" t="s">
        <v>32</v>
      </c>
      <c r="B11" s="181" t="s">
        <v>91</v>
      </c>
      <c r="C11" s="183" t="s">
        <v>34</v>
      </c>
      <c r="D11" s="171" t="s">
        <v>13</v>
      </c>
      <c r="E11" s="171"/>
      <c r="F11" s="171"/>
      <c r="G11" s="171"/>
      <c r="H11" s="171"/>
      <c r="I11" s="171"/>
      <c r="J11" s="171"/>
      <c r="K11" s="172" t="s">
        <v>116</v>
      </c>
      <c r="L11" s="174" t="s">
        <v>163</v>
      </c>
      <c r="M11" s="176" t="s">
        <v>93</v>
      </c>
      <c r="N11" s="167"/>
      <c r="O11" s="157" t="s">
        <v>32</v>
      </c>
      <c r="P11" s="159" t="s">
        <v>21</v>
      </c>
      <c r="Q11" s="164" t="s">
        <v>22</v>
      </c>
      <c r="R11" s="164" t="s">
        <v>23</v>
      </c>
      <c r="S11" s="165" t="s">
        <v>24</v>
      </c>
      <c r="U11" s="17"/>
    </row>
    <row r="12" spans="1:21" ht="46.8">
      <c r="A12" s="158"/>
      <c r="B12" s="182"/>
      <c r="C12" s="184"/>
      <c r="D12" s="13" t="s">
        <v>31</v>
      </c>
      <c r="E12" s="13" t="str">
        <f>G2</f>
        <v>Parking &amp; Charge</v>
      </c>
      <c r="F12" s="13" t="str">
        <f>G3</f>
        <v xml:space="preserve">Forfait garage </v>
      </c>
      <c r="G12" s="13" t="s">
        <v>33</v>
      </c>
      <c r="H12" s="13" t="str">
        <f>G5</f>
        <v>Prime gérant (5% recette)</v>
      </c>
      <c r="I12" s="31" t="str">
        <f>L1</f>
        <v>CHARGES ANNUELLES</v>
      </c>
      <c r="J12" s="38" t="s">
        <v>30</v>
      </c>
      <c r="K12" s="173"/>
      <c r="L12" s="175"/>
      <c r="M12" s="177"/>
      <c r="N12" s="167"/>
      <c r="O12" s="158"/>
      <c r="P12" s="160"/>
      <c r="Q12" s="159"/>
      <c r="R12" s="159"/>
      <c r="S12" s="166"/>
      <c r="U12" s="17"/>
    </row>
    <row r="13" spans="1:21">
      <c r="A13" s="32">
        <v>46053</v>
      </c>
      <c r="B13" s="42">
        <v>7</v>
      </c>
      <c r="C13" s="41">
        <f>$E$7*B13</f>
        <v>3013.932584269663</v>
      </c>
      <c r="D13" s="15">
        <f t="shared" ref="D13:D24" si="1">$J$8*$B$13</f>
        <v>2368.9138576779023</v>
      </c>
      <c r="E13" s="15">
        <f>$J$2*B13</f>
        <v>235.95505617977528</v>
      </c>
      <c r="F13" s="15"/>
      <c r="G13" s="15"/>
      <c r="H13" s="15">
        <f t="shared" ref="H13:H50" si="2">$J$5*B13</f>
        <v>134.96629213483146</v>
      </c>
      <c r="I13" s="15">
        <f>$P$8*B13</f>
        <v>1198.6516853932585</v>
      </c>
      <c r="J13" s="39">
        <f>(E13+F13+H13+I13+D13+G13)</f>
        <v>3938.4868913857676</v>
      </c>
      <c r="K13" s="45">
        <f t="shared" ref="K13:K50" si="3">C13-J13</f>
        <v>-924.55430711610461</v>
      </c>
      <c r="L13" s="51">
        <v>1000</v>
      </c>
      <c r="M13" s="102">
        <f>L13+K13</f>
        <v>75.44569288389539</v>
      </c>
      <c r="N13" s="20"/>
      <c r="O13" s="32">
        <v>46053</v>
      </c>
      <c r="P13" s="21"/>
      <c r="Q13" s="15">
        <f>($E$3*50%)</f>
        <v>1910.1123595505619</v>
      </c>
      <c r="R13" s="15">
        <f t="shared" ref="Q13:R36" si="4">($E$3*50%)</f>
        <v>1910.1123595505619</v>
      </c>
      <c r="S13" s="36">
        <f>(Q13+R13)*P13</f>
        <v>0</v>
      </c>
      <c r="U13" s="17"/>
    </row>
    <row r="14" spans="1:21">
      <c r="A14" s="32">
        <v>46081</v>
      </c>
      <c r="B14" s="42">
        <f>B13+P13</f>
        <v>7</v>
      </c>
      <c r="C14" s="41">
        <f>$E$7*B14</f>
        <v>3013.932584269663</v>
      </c>
      <c r="D14" s="15">
        <f t="shared" si="1"/>
        <v>2368.9138576779023</v>
      </c>
      <c r="E14" s="15">
        <f t="shared" ref="E14:E50" si="5">$J$2*B14</f>
        <v>235.95505617977528</v>
      </c>
      <c r="F14" s="15"/>
      <c r="G14" s="15"/>
      <c r="H14" s="15">
        <f t="shared" si="2"/>
        <v>134.96629213483146</v>
      </c>
      <c r="I14" s="15">
        <f>$P$8*(B14-B13)</f>
        <v>0</v>
      </c>
      <c r="J14" s="39">
        <f>(E14+F14+H14+I14+D14+G14)</f>
        <v>2739.8352059925091</v>
      </c>
      <c r="K14" s="45">
        <f t="shared" si="3"/>
        <v>274.09737827715389</v>
      </c>
      <c r="L14" s="51">
        <v>3000</v>
      </c>
      <c r="M14" s="102">
        <f t="shared" ref="M14:M27" si="6">L14+K14+M13-S13</f>
        <v>3349.5430711610493</v>
      </c>
      <c r="N14" s="20"/>
      <c r="O14" s="32">
        <v>46081</v>
      </c>
      <c r="P14" s="21"/>
      <c r="Q14" s="15">
        <f t="shared" si="4"/>
        <v>1910.1123595505619</v>
      </c>
      <c r="R14" s="15">
        <f t="shared" si="4"/>
        <v>1910.1123595505619</v>
      </c>
      <c r="S14" s="36">
        <f t="shared" ref="S14:S27" si="7">(Q14+R14)*P14</f>
        <v>0</v>
      </c>
      <c r="U14" s="17"/>
    </row>
    <row r="15" spans="1:21">
      <c r="A15" s="32">
        <v>46112</v>
      </c>
      <c r="B15" s="42">
        <f t="shared" ref="B15:B50" si="8">B14+P14</f>
        <v>7</v>
      </c>
      <c r="C15" s="41">
        <f t="shared" ref="C15:C18" si="9">$E$7*B15</f>
        <v>3013.932584269663</v>
      </c>
      <c r="D15" s="15">
        <f t="shared" si="1"/>
        <v>2368.9138576779023</v>
      </c>
      <c r="E15" s="15">
        <f t="shared" si="5"/>
        <v>235.95505617977528</v>
      </c>
      <c r="F15" s="15"/>
      <c r="G15" s="15"/>
      <c r="H15" s="15">
        <f t="shared" si="2"/>
        <v>134.96629213483146</v>
      </c>
      <c r="I15" s="15">
        <f t="shared" ref="I15:I50" si="10">$P$8*(B15-B14)</f>
        <v>0</v>
      </c>
      <c r="J15" s="39">
        <f t="shared" ref="J15:J50" si="11">(E15+F15+H15+I15+D15+G15)</f>
        <v>2739.8352059925091</v>
      </c>
      <c r="K15" s="45">
        <f t="shared" si="3"/>
        <v>274.09737827715389</v>
      </c>
      <c r="L15" s="51">
        <v>3000</v>
      </c>
      <c r="M15" s="102">
        <f t="shared" si="6"/>
        <v>6623.6404494382032</v>
      </c>
      <c r="N15" s="20"/>
      <c r="O15" s="32">
        <v>46112</v>
      </c>
      <c r="P15" s="21"/>
      <c r="Q15" s="15">
        <f t="shared" si="4"/>
        <v>1910.1123595505619</v>
      </c>
      <c r="R15" s="15">
        <f t="shared" si="4"/>
        <v>1910.1123595505619</v>
      </c>
      <c r="S15" s="36">
        <f t="shared" si="7"/>
        <v>0</v>
      </c>
      <c r="U15" s="17"/>
    </row>
    <row r="16" spans="1:21">
      <c r="A16" s="32">
        <v>46142</v>
      </c>
      <c r="B16" s="42">
        <f t="shared" si="8"/>
        <v>7</v>
      </c>
      <c r="C16" s="41">
        <f t="shared" si="9"/>
        <v>3013.932584269663</v>
      </c>
      <c r="D16" s="15">
        <f t="shared" si="1"/>
        <v>2368.9138576779023</v>
      </c>
      <c r="E16" s="15">
        <f t="shared" si="5"/>
        <v>235.95505617977528</v>
      </c>
      <c r="F16" s="15"/>
      <c r="G16" s="15"/>
      <c r="H16" s="15">
        <f t="shared" si="2"/>
        <v>134.96629213483146</v>
      </c>
      <c r="I16" s="15">
        <f t="shared" si="10"/>
        <v>0</v>
      </c>
      <c r="J16" s="39">
        <f t="shared" si="11"/>
        <v>2739.8352059925091</v>
      </c>
      <c r="K16" s="45">
        <f t="shared" si="3"/>
        <v>274.09737827715389</v>
      </c>
      <c r="L16" s="51">
        <v>3000</v>
      </c>
      <c r="M16" s="102">
        <f t="shared" si="6"/>
        <v>9897.7378277153566</v>
      </c>
      <c r="N16" s="20"/>
      <c r="O16" s="32">
        <v>46142</v>
      </c>
      <c r="P16" s="21">
        <v>2</v>
      </c>
      <c r="Q16" s="15">
        <f t="shared" si="4"/>
        <v>1910.1123595505619</v>
      </c>
      <c r="R16" s="15">
        <f t="shared" si="4"/>
        <v>1910.1123595505619</v>
      </c>
      <c r="S16" s="36">
        <f t="shared" si="7"/>
        <v>7640.4494382022476</v>
      </c>
      <c r="U16" s="17"/>
    </row>
    <row r="17" spans="1:21">
      <c r="A17" s="32">
        <v>46173</v>
      </c>
      <c r="B17" s="42">
        <f t="shared" si="8"/>
        <v>9</v>
      </c>
      <c r="C17" s="41">
        <f t="shared" si="9"/>
        <v>3875.0561797752812</v>
      </c>
      <c r="D17" s="15">
        <f t="shared" si="1"/>
        <v>2368.9138576779023</v>
      </c>
      <c r="E17" s="15">
        <f t="shared" si="5"/>
        <v>303.37078651685397</v>
      </c>
      <c r="F17" s="15"/>
      <c r="G17" s="15"/>
      <c r="H17" s="15">
        <f t="shared" si="2"/>
        <v>173.52808988764042</v>
      </c>
      <c r="I17" s="15">
        <f t="shared" si="10"/>
        <v>342.47191011235958</v>
      </c>
      <c r="J17" s="39">
        <f t="shared" si="11"/>
        <v>3188.2846441947563</v>
      </c>
      <c r="K17" s="45">
        <f t="shared" si="3"/>
        <v>686.77153558052487</v>
      </c>
      <c r="L17" s="51">
        <v>3000</v>
      </c>
      <c r="M17" s="102">
        <f t="shared" si="6"/>
        <v>5944.0599250936339</v>
      </c>
      <c r="N17" s="20"/>
      <c r="O17" s="32">
        <v>46173</v>
      </c>
      <c r="P17" s="21">
        <v>2</v>
      </c>
      <c r="Q17" s="15">
        <f t="shared" si="4"/>
        <v>1910.1123595505619</v>
      </c>
      <c r="R17" s="15">
        <f t="shared" si="4"/>
        <v>1910.1123595505619</v>
      </c>
      <c r="S17" s="36">
        <f t="shared" si="7"/>
        <v>7640.4494382022476</v>
      </c>
      <c r="U17" s="17"/>
    </row>
    <row r="18" spans="1:21">
      <c r="A18" s="32">
        <v>46203</v>
      </c>
      <c r="B18" s="42">
        <f t="shared" si="8"/>
        <v>11</v>
      </c>
      <c r="C18" s="41">
        <f t="shared" si="9"/>
        <v>4736.1797752808989</v>
      </c>
      <c r="D18" s="15">
        <f t="shared" si="1"/>
        <v>2368.9138576779023</v>
      </c>
      <c r="E18" s="15">
        <f t="shared" si="5"/>
        <v>370.7865168539326</v>
      </c>
      <c r="F18" s="15"/>
      <c r="G18" s="15"/>
      <c r="H18" s="15">
        <f t="shared" si="2"/>
        <v>212.08988764044943</v>
      </c>
      <c r="I18" s="15">
        <f t="shared" si="10"/>
        <v>342.47191011235958</v>
      </c>
      <c r="J18" s="39">
        <f t="shared" si="11"/>
        <v>3294.2621722846443</v>
      </c>
      <c r="K18" s="45">
        <f t="shared" si="3"/>
        <v>1441.9176029962546</v>
      </c>
      <c r="L18" s="51">
        <v>3000</v>
      </c>
      <c r="M18" s="102">
        <f t="shared" si="6"/>
        <v>2745.5280898876408</v>
      </c>
      <c r="N18" s="20"/>
      <c r="O18" s="32">
        <v>46203</v>
      </c>
      <c r="P18" s="21">
        <v>2</v>
      </c>
      <c r="Q18" s="15">
        <f t="shared" si="4"/>
        <v>1910.1123595505619</v>
      </c>
      <c r="R18" s="15">
        <f t="shared" si="4"/>
        <v>1910.1123595505619</v>
      </c>
      <c r="S18" s="36">
        <f t="shared" si="7"/>
        <v>7640.4494382022476</v>
      </c>
      <c r="U18" s="17"/>
    </row>
    <row r="19" spans="1:21">
      <c r="A19" s="32">
        <v>46234</v>
      </c>
      <c r="B19" s="42">
        <f t="shared" si="8"/>
        <v>13</v>
      </c>
      <c r="C19" s="41">
        <f t="shared" ref="C19:C50" si="12">$E$6*B19</f>
        <v>5013.0337078651692</v>
      </c>
      <c r="D19" s="15">
        <f t="shared" si="1"/>
        <v>2368.9138576779023</v>
      </c>
      <c r="E19" s="15">
        <f t="shared" si="5"/>
        <v>438.20224719101128</v>
      </c>
      <c r="F19" s="15">
        <f t="shared" ref="F19" si="13">$J$3*B19</f>
        <v>292.13483146067415</v>
      </c>
      <c r="G19" s="15">
        <f t="shared" ref="G19" si="14">$J$4*B19</f>
        <v>189.88764044943818</v>
      </c>
      <c r="H19" s="15">
        <f t="shared" si="2"/>
        <v>250.65168539325839</v>
      </c>
      <c r="I19" s="15">
        <f t="shared" si="10"/>
        <v>342.47191011235958</v>
      </c>
      <c r="J19" s="39">
        <f t="shared" si="11"/>
        <v>3882.2621722846438</v>
      </c>
      <c r="K19" s="45">
        <f t="shared" si="3"/>
        <v>1130.7715355805253</v>
      </c>
      <c r="L19" s="51">
        <v>3000</v>
      </c>
      <c r="M19" s="102">
        <f t="shared" si="6"/>
        <v>-764.14981273408193</v>
      </c>
      <c r="N19" s="20"/>
      <c r="O19" s="32">
        <v>46234</v>
      </c>
      <c r="P19" s="21"/>
      <c r="Q19" s="15">
        <f t="shared" si="4"/>
        <v>1910.1123595505619</v>
      </c>
      <c r="R19" s="15">
        <f t="shared" si="4"/>
        <v>1910.1123595505619</v>
      </c>
      <c r="S19" s="36">
        <f t="shared" si="7"/>
        <v>0</v>
      </c>
      <c r="U19" s="17"/>
    </row>
    <row r="20" spans="1:21">
      <c r="A20" s="32">
        <v>46265</v>
      </c>
      <c r="B20" s="42">
        <f t="shared" si="8"/>
        <v>13</v>
      </c>
      <c r="C20" s="41">
        <f t="shared" si="12"/>
        <v>5013.0337078651692</v>
      </c>
      <c r="D20" s="15">
        <f t="shared" si="1"/>
        <v>2368.9138576779023</v>
      </c>
      <c r="E20" s="15">
        <f t="shared" si="5"/>
        <v>438.20224719101128</v>
      </c>
      <c r="F20" s="15">
        <f t="shared" ref="F20" si="15">$J$3*B20</f>
        <v>292.13483146067415</v>
      </c>
      <c r="G20" s="15">
        <f t="shared" ref="G20" si="16">$J$4*B20</f>
        <v>189.88764044943818</v>
      </c>
      <c r="H20" s="15">
        <f t="shared" si="2"/>
        <v>250.65168539325839</v>
      </c>
      <c r="I20" s="15">
        <f t="shared" si="10"/>
        <v>0</v>
      </c>
      <c r="J20" s="39">
        <f t="shared" si="11"/>
        <v>3539.7902621722842</v>
      </c>
      <c r="K20" s="45">
        <f t="shared" si="3"/>
        <v>1473.243445692885</v>
      </c>
      <c r="L20" s="51">
        <v>3000</v>
      </c>
      <c r="M20" s="102">
        <f t="shared" si="6"/>
        <v>3709.093632958803</v>
      </c>
      <c r="N20" s="20"/>
      <c r="O20" s="32">
        <v>46265</v>
      </c>
      <c r="P20" s="21"/>
      <c r="Q20" s="15">
        <f t="shared" si="4"/>
        <v>1910.1123595505619</v>
      </c>
      <c r="R20" s="15">
        <f t="shared" si="4"/>
        <v>1910.1123595505619</v>
      </c>
      <c r="S20" s="36">
        <f t="shared" si="7"/>
        <v>0</v>
      </c>
      <c r="U20" s="17"/>
    </row>
    <row r="21" spans="1:21">
      <c r="A21" s="32">
        <v>46295</v>
      </c>
      <c r="B21" s="42">
        <f t="shared" si="8"/>
        <v>13</v>
      </c>
      <c r="C21" s="41">
        <f t="shared" si="12"/>
        <v>5013.0337078651692</v>
      </c>
      <c r="D21" s="15">
        <f t="shared" si="1"/>
        <v>2368.9138576779023</v>
      </c>
      <c r="E21" s="15">
        <f t="shared" si="5"/>
        <v>438.20224719101128</v>
      </c>
      <c r="F21" s="15">
        <f t="shared" ref="F21" si="17">$J$3*B21</f>
        <v>292.13483146067415</v>
      </c>
      <c r="G21" s="15">
        <f t="shared" ref="G21" si="18">$J$4*B21</f>
        <v>189.88764044943818</v>
      </c>
      <c r="H21" s="15">
        <f t="shared" si="2"/>
        <v>250.65168539325839</v>
      </c>
      <c r="I21" s="15">
        <f t="shared" si="10"/>
        <v>0</v>
      </c>
      <c r="J21" s="39">
        <f t="shared" si="11"/>
        <v>3539.7902621722842</v>
      </c>
      <c r="K21" s="45">
        <f t="shared" si="3"/>
        <v>1473.243445692885</v>
      </c>
      <c r="L21" s="51">
        <v>3000</v>
      </c>
      <c r="M21" s="102">
        <f t="shared" si="6"/>
        <v>8182.337078651688</v>
      </c>
      <c r="N21" s="20"/>
      <c r="O21" s="32">
        <v>46295</v>
      </c>
      <c r="P21" s="21">
        <v>3</v>
      </c>
      <c r="Q21" s="15">
        <f t="shared" si="4"/>
        <v>1910.1123595505619</v>
      </c>
      <c r="R21" s="15">
        <f t="shared" si="4"/>
        <v>1910.1123595505619</v>
      </c>
      <c r="S21" s="36">
        <f t="shared" si="7"/>
        <v>11460.674157303372</v>
      </c>
      <c r="U21" s="17"/>
    </row>
    <row r="22" spans="1:21">
      <c r="A22" s="32">
        <v>46326</v>
      </c>
      <c r="B22" s="42">
        <f t="shared" si="8"/>
        <v>16</v>
      </c>
      <c r="C22" s="41">
        <f t="shared" si="12"/>
        <v>6169.8876404494385</v>
      </c>
      <c r="D22" s="15">
        <f t="shared" si="1"/>
        <v>2368.9138576779023</v>
      </c>
      <c r="E22" s="15">
        <f t="shared" si="5"/>
        <v>539.32584269662925</v>
      </c>
      <c r="F22" s="15">
        <f t="shared" ref="F22:F26" si="19">$J$3*B22</f>
        <v>359.55056179775283</v>
      </c>
      <c r="G22" s="15">
        <f t="shared" ref="G22:G26" si="20">$J$4*B22</f>
        <v>233.70786516853931</v>
      </c>
      <c r="H22" s="15">
        <f t="shared" si="2"/>
        <v>308.49438202247188</v>
      </c>
      <c r="I22" s="15">
        <f t="shared" si="10"/>
        <v>513.70786516853934</v>
      </c>
      <c r="J22" s="39">
        <f t="shared" si="11"/>
        <v>4323.7003745318352</v>
      </c>
      <c r="K22" s="45">
        <f t="shared" si="3"/>
        <v>1846.1872659176033</v>
      </c>
      <c r="L22" s="51">
        <v>3000</v>
      </c>
      <c r="M22" s="102">
        <f t="shared" si="6"/>
        <v>1567.8501872659181</v>
      </c>
      <c r="N22" s="20"/>
      <c r="O22" s="32">
        <v>46326</v>
      </c>
      <c r="P22" s="21"/>
      <c r="Q22" s="15">
        <f t="shared" si="4"/>
        <v>1910.1123595505619</v>
      </c>
      <c r="R22" s="15">
        <f t="shared" si="4"/>
        <v>1910.1123595505619</v>
      </c>
      <c r="S22" s="36">
        <f t="shared" si="7"/>
        <v>0</v>
      </c>
      <c r="U22" s="17"/>
    </row>
    <row r="23" spans="1:21">
      <c r="A23" s="32">
        <v>46356</v>
      </c>
      <c r="B23" s="42">
        <f t="shared" si="8"/>
        <v>16</v>
      </c>
      <c r="C23" s="41">
        <f t="shared" si="12"/>
        <v>6169.8876404494385</v>
      </c>
      <c r="D23" s="15">
        <f t="shared" si="1"/>
        <v>2368.9138576779023</v>
      </c>
      <c r="E23" s="15">
        <f t="shared" si="5"/>
        <v>539.32584269662925</v>
      </c>
      <c r="F23" s="15">
        <f t="shared" si="19"/>
        <v>359.55056179775283</v>
      </c>
      <c r="G23" s="15">
        <f t="shared" si="20"/>
        <v>233.70786516853931</v>
      </c>
      <c r="H23" s="15">
        <f t="shared" si="2"/>
        <v>308.49438202247188</v>
      </c>
      <c r="I23" s="15">
        <f t="shared" si="10"/>
        <v>0</v>
      </c>
      <c r="J23" s="39">
        <f t="shared" si="11"/>
        <v>3809.9925093632955</v>
      </c>
      <c r="K23" s="45">
        <f t="shared" si="3"/>
        <v>2359.895131086143</v>
      </c>
      <c r="L23" s="51">
        <v>3000</v>
      </c>
      <c r="M23" s="102">
        <f t="shared" si="6"/>
        <v>6927.7453183520611</v>
      </c>
      <c r="N23" s="20"/>
      <c r="O23" s="32">
        <v>46356</v>
      </c>
      <c r="P23" s="21">
        <v>3</v>
      </c>
      <c r="Q23" s="15">
        <f t="shared" si="4"/>
        <v>1910.1123595505619</v>
      </c>
      <c r="R23" s="15">
        <f t="shared" si="4"/>
        <v>1910.1123595505619</v>
      </c>
      <c r="S23" s="36">
        <f t="shared" si="7"/>
        <v>11460.674157303372</v>
      </c>
      <c r="U23" s="17"/>
    </row>
    <row r="24" spans="1:21">
      <c r="A24" s="125">
        <v>46387</v>
      </c>
      <c r="B24" s="42">
        <f t="shared" si="8"/>
        <v>19</v>
      </c>
      <c r="C24" s="41">
        <f t="shared" si="12"/>
        <v>7326.7415730337079</v>
      </c>
      <c r="D24" s="15">
        <f t="shared" si="1"/>
        <v>2368.9138576779023</v>
      </c>
      <c r="E24" s="15">
        <f t="shared" si="5"/>
        <v>640.44943820224728</v>
      </c>
      <c r="F24" s="15">
        <f t="shared" si="19"/>
        <v>426.96629213483152</v>
      </c>
      <c r="G24" s="15">
        <f t="shared" si="20"/>
        <v>277.52808988764042</v>
      </c>
      <c r="H24" s="15">
        <f t="shared" si="2"/>
        <v>366.33707865168537</v>
      </c>
      <c r="I24" s="15">
        <f t="shared" si="10"/>
        <v>513.70786516853934</v>
      </c>
      <c r="J24" s="39">
        <f t="shared" si="11"/>
        <v>4593.9026217228466</v>
      </c>
      <c r="K24" s="45">
        <f t="shared" si="3"/>
        <v>2732.8389513108614</v>
      </c>
      <c r="L24" s="51">
        <v>3000</v>
      </c>
      <c r="M24" s="102">
        <f t="shared" si="6"/>
        <v>1199.9101123595501</v>
      </c>
      <c r="N24" s="20"/>
      <c r="O24" s="125">
        <v>46387</v>
      </c>
      <c r="P24" s="21">
        <v>2</v>
      </c>
      <c r="Q24" s="15">
        <f t="shared" si="4"/>
        <v>1910.1123595505619</v>
      </c>
      <c r="R24" s="15">
        <f t="shared" si="4"/>
        <v>1910.1123595505619</v>
      </c>
      <c r="S24" s="36">
        <f t="shared" si="7"/>
        <v>7640.4494382022476</v>
      </c>
      <c r="U24" s="17"/>
    </row>
    <row r="25" spans="1:21">
      <c r="A25" s="32">
        <v>46418</v>
      </c>
      <c r="B25" s="42">
        <f t="shared" si="8"/>
        <v>21</v>
      </c>
      <c r="C25" s="41">
        <f t="shared" si="12"/>
        <v>8097.9775280898884</v>
      </c>
      <c r="D25" s="15">
        <v>0</v>
      </c>
      <c r="E25" s="15">
        <f t="shared" si="5"/>
        <v>707.86516853932585</v>
      </c>
      <c r="F25" s="15">
        <f t="shared" si="19"/>
        <v>471.91011235955057</v>
      </c>
      <c r="G25" s="15">
        <f t="shared" si="20"/>
        <v>306.74157303370782</v>
      </c>
      <c r="H25" s="15">
        <f t="shared" si="2"/>
        <v>404.89887640449433</v>
      </c>
      <c r="I25" s="15">
        <f t="shared" si="10"/>
        <v>342.47191011235958</v>
      </c>
      <c r="J25" s="39">
        <f t="shared" si="11"/>
        <v>2233.8876404494381</v>
      </c>
      <c r="K25" s="45">
        <f t="shared" si="3"/>
        <v>5864.0898876404499</v>
      </c>
      <c r="L25" s="51">
        <v>3000</v>
      </c>
      <c r="M25" s="102">
        <f t="shared" si="6"/>
        <v>2423.5505617977524</v>
      </c>
      <c r="N25" s="20"/>
      <c r="O25" s="32">
        <v>46418</v>
      </c>
      <c r="P25" s="21"/>
      <c r="Q25" s="15">
        <f t="shared" si="4"/>
        <v>1910.1123595505619</v>
      </c>
      <c r="R25" s="15">
        <f t="shared" si="4"/>
        <v>1910.1123595505619</v>
      </c>
      <c r="S25" s="36">
        <f t="shared" si="7"/>
        <v>0</v>
      </c>
      <c r="U25" s="17"/>
    </row>
    <row r="26" spans="1:21">
      <c r="A26" s="32">
        <v>46446</v>
      </c>
      <c r="B26" s="42">
        <f t="shared" si="8"/>
        <v>21</v>
      </c>
      <c r="C26" s="41">
        <f t="shared" si="12"/>
        <v>8097.9775280898884</v>
      </c>
      <c r="D26" s="15">
        <v>0</v>
      </c>
      <c r="E26" s="15">
        <f t="shared" si="5"/>
        <v>707.86516853932585</v>
      </c>
      <c r="F26" s="15">
        <f t="shared" si="19"/>
        <v>471.91011235955057</v>
      </c>
      <c r="G26" s="15">
        <f t="shared" si="20"/>
        <v>306.74157303370782</v>
      </c>
      <c r="H26" s="15">
        <f t="shared" si="2"/>
        <v>404.89887640449433</v>
      </c>
      <c r="I26" s="15">
        <f t="shared" si="10"/>
        <v>0</v>
      </c>
      <c r="J26" s="39">
        <f t="shared" si="11"/>
        <v>1891.4157303370785</v>
      </c>
      <c r="K26" s="45">
        <f t="shared" si="3"/>
        <v>6206.56179775281</v>
      </c>
      <c r="L26" s="51">
        <v>3000</v>
      </c>
      <c r="M26" s="102">
        <f t="shared" si="6"/>
        <v>11630.112359550561</v>
      </c>
      <c r="N26" s="20"/>
      <c r="O26" s="32">
        <v>46446</v>
      </c>
      <c r="P26" s="21">
        <v>4</v>
      </c>
      <c r="Q26" s="15">
        <f t="shared" si="4"/>
        <v>1910.1123595505619</v>
      </c>
      <c r="R26" s="15">
        <f t="shared" si="4"/>
        <v>1910.1123595505619</v>
      </c>
      <c r="S26" s="36">
        <f t="shared" si="7"/>
        <v>15280.898876404495</v>
      </c>
      <c r="U26" s="17"/>
    </row>
    <row r="27" spans="1:21">
      <c r="A27" s="32">
        <v>46477</v>
      </c>
      <c r="B27" s="42">
        <f t="shared" si="8"/>
        <v>25</v>
      </c>
      <c r="C27" s="41">
        <f t="shared" si="12"/>
        <v>9640.4494382022476</v>
      </c>
      <c r="D27" s="15">
        <v>0</v>
      </c>
      <c r="E27" s="15">
        <f t="shared" si="5"/>
        <v>842.69662921348322</v>
      </c>
      <c r="F27" s="15">
        <f t="shared" ref="F27:F50" si="21">$J$3*B27</f>
        <v>561.79775280898878</v>
      </c>
      <c r="G27" s="15">
        <f t="shared" ref="G27:G50" si="22">$J$4*B27</f>
        <v>365.16853932584269</v>
      </c>
      <c r="H27" s="15">
        <f t="shared" si="2"/>
        <v>482.0224719101123</v>
      </c>
      <c r="I27" s="15">
        <f t="shared" si="10"/>
        <v>684.94382022471916</v>
      </c>
      <c r="J27" s="39">
        <f t="shared" si="11"/>
        <v>2936.629213483146</v>
      </c>
      <c r="K27" s="45">
        <f t="shared" si="3"/>
        <v>6703.820224719102</v>
      </c>
      <c r="L27" s="15"/>
      <c r="M27" s="102">
        <f t="shared" si="6"/>
        <v>3053.0337078651683</v>
      </c>
      <c r="N27" s="20"/>
      <c r="O27" s="32">
        <v>46477</v>
      </c>
      <c r="P27" s="21"/>
      <c r="Q27" s="15">
        <f t="shared" si="4"/>
        <v>1910.1123595505619</v>
      </c>
      <c r="R27" s="15">
        <f t="shared" si="4"/>
        <v>1910.1123595505619</v>
      </c>
      <c r="S27" s="36">
        <f t="shared" si="7"/>
        <v>0</v>
      </c>
      <c r="U27" s="17"/>
    </row>
    <row r="28" spans="1:21">
      <c r="A28" s="32">
        <v>46507</v>
      </c>
      <c r="B28" s="42">
        <f t="shared" si="8"/>
        <v>25</v>
      </c>
      <c r="C28" s="41">
        <f t="shared" si="12"/>
        <v>9640.4494382022476</v>
      </c>
      <c r="D28" s="15">
        <v>0</v>
      </c>
      <c r="E28" s="15">
        <f t="shared" si="5"/>
        <v>842.69662921348322</v>
      </c>
      <c r="F28" s="15">
        <f t="shared" si="21"/>
        <v>561.79775280898878</v>
      </c>
      <c r="G28" s="15">
        <f t="shared" si="22"/>
        <v>365.16853932584269</v>
      </c>
      <c r="H28" s="15">
        <f t="shared" si="2"/>
        <v>482.0224719101123</v>
      </c>
      <c r="I28" s="15">
        <f t="shared" si="10"/>
        <v>0</v>
      </c>
      <c r="J28" s="39">
        <f t="shared" si="11"/>
        <v>2251.6853932584272</v>
      </c>
      <c r="K28" s="45">
        <f t="shared" si="3"/>
        <v>7388.7640449438204</v>
      </c>
      <c r="L28" s="15"/>
      <c r="M28" s="102">
        <f t="shared" ref="M28:M38" si="23">L28+K28+M27-S27</f>
        <v>10441.797752808989</v>
      </c>
      <c r="O28" s="32">
        <v>46507</v>
      </c>
      <c r="P28" s="21">
        <v>5</v>
      </c>
      <c r="Q28" s="15">
        <f t="shared" si="4"/>
        <v>1910.1123595505619</v>
      </c>
      <c r="R28" s="15">
        <f t="shared" si="4"/>
        <v>1910.1123595505619</v>
      </c>
      <c r="S28" s="36">
        <f t="shared" ref="S28:S38" si="24">(Q28+R28)*P28</f>
        <v>19101.123595505618</v>
      </c>
      <c r="U28" s="17"/>
    </row>
    <row r="29" spans="1:21">
      <c r="A29" s="32">
        <v>46538</v>
      </c>
      <c r="B29" s="42">
        <f t="shared" si="8"/>
        <v>30</v>
      </c>
      <c r="C29" s="41">
        <f t="shared" si="12"/>
        <v>11568.539325842698</v>
      </c>
      <c r="D29" s="15">
        <v>0</v>
      </c>
      <c r="E29" s="15">
        <f t="shared" si="5"/>
        <v>1011.2359550561798</v>
      </c>
      <c r="F29" s="15">
        <f t="shared" si="21"/>
        <v>674.15730337078662</v>
      </c>
      <c r="G29" s="15">
        <f t="shared" si="22"/>
        <v>438.20224719101122</v>
      </c>
      <c r="H29" s="15">
        <f t="shared" si="2"/>
        <v>578.42696629213481</v>
      </c>
      <c r="I29" s="15">
        <f t="shared" si="10"/>
        <v>856.17977528089898</v>
      </c>
      <c r="J29" s="39">
        <f t="shared" si="11"/>
        <v>3558.2022471910113</v>
      </c>
      <c r="K29" s="45">
        <f t="shared" si="3"/>
        <v>8010.3370786516862</v>
      </c>
      <c r="L29" s="15"/>
      <c r="M29" s="102">
        <f t="shared" si="23"/>
        <v>-648.98876404494513</v>
      </c>
      <c r="O29" s="32">
        <v>46538</v>
      </c>
      <c r="P29" s="21"/>
      <c r="Q29" s="15">
        <f t="shared" si="4"/>
        <v>1910.1123595505619</v>
      </c>
      <c r="R29" s="15">
        <f t="shared" si="4"/>
        <v>1910.1123595505619</v>
      </c>
      <c r="S29" s="36">
        <f t="shared" si="24"/>
        <v>0</v>
      </c>
      <c r="U29" s="17"/>
    </row>
    <row r="30" spans="1:21">
      <c r="A30" s="32">
        <v>46568</v>
      </c>
      <c r="B30" s="42">
        <f t="shared" si="8"/>
        <v>30</v>
      </c>
      <c r="C30" s="41">
        <f t="shared" si="12"/>
        <v>11568.539325842698</v>
      </c>
      <c r="D30" s="15">
        <v>0</v>
      </c>
      <c r="E30" s="15">
        <f t="shared" si="5"/>
        <v>1011.2359550561798</v>
      </c>
      <c r="F30" s="15">
        <f t="shared" si="21"/>
        <v>674.15730337078662</v>
      </c>
      <c r="G30" s="15">
        <f t="shared" si="22"/>
        <v>438.20224719101122</v>
      </c>
      <c r="H30" s="15">
        <f t="shared" si="2"/>
        <v>578.42696629213481</v>
      </c>
      <c r="I30" s="15">
        <f t="shared" si="10"/>
        <v>0</v>
      </c>
      <c r="J30" s="39">
        <f t="shared" si="11"/>
        <v>2702.0224719101125</v>
      </c>
      <c r="K30" s="45">
        <f t="shared" si="3"/>
        <v>8866.5168539325859</v>
      </c>
      <c r="L30" s="15"/>
      <c r="M30" s="102">
        <f t="shared" si="23"/>
        <v>8217.5280898876408</v>
      </c>
      <c r="O30" s="32">
        <v>46568</v>
      </c>
      <c r="P30" s="21"/>
      <c r="Q30" s="15">
        <f t="shared" si="4"/>
        <v>1910.1123595505619</v>
      </c>
      <c r="R30" s="15">
        <f t="shared" si="4"/>
        <v>1910.1123595505619</v>
      </c>
      <c r="S30" s="36">
        <f t="shared" si="24"/>
        <v>0</v>
      </c>
      <c r="U30" s="17"/>
    </row>
    <row r="31" spans="1:21">
      <c r="A31" s="32">
        <v>46599</v>
      </c>
      <c r="B31" s="42">
        <f t="shared" si="8"/>
        <v>30</v>
      </c>
      <c r="C31" s="41">
        <f t="shared" si="12"/>
        <v>11568.539325842698</v>
      </c>
      <c r="D31" s="15">
        <v>0</v>
      </c>
      <c r="E31" s="15">
        <f t="shared" si="5"/>
        <v>1011.2359550561798</v>
      </c>
      <c r="F31" s="15">
        <f t="shared" si="21"/>
        <v>674.15730337078662</v>
      </c>
      <c r="G31" s="15">
        <f t="shared" si="22"/>
        <v>438.20224719101122</v>
      </c>
      <c r="H31" s="15">
        <f t="shared" si="2"/>
        <v>578.42696629213481</v>
      </c>
      <c r="I31" s="15">
        <f t="shared" si="10"/>
        <v>0</v>
      </c>
      <c r="J31" s="39">
        <f t="shared" si="11"/>
        <v>2702.0224719101125</v>
      </c>
      <c r="K31" s="45">
        <f t="shared" si="3"/>
        <v>8866.5168539325859</v>
      </c>
      <c r="L31" s="15"/>
      <c r="M31" s="102">
        <f t="shared" si="23"/>
        <v>17084.044943820227</v>
      </c>
      <c r="O31" s="32">
        <v>46599</v>
      </c>
      <c r="P31" s="21"/>
      <c r="Q31" s="15">
        <f t="shared" si="4"/>
        <v>1910.1123595505619</v>
      </c>
      <c r="R31" s="15">
        <f t="shared" si="4"/>
        <v>1910.1123595505619</v>
      </c>
      <c r="S31" s="36">
        <f t="shared" si="24"/>
        <v>0</v>
      </c>
      <c r="U31" s="17"/>
    </row>
    <row r="32" spans="1:21">
      <c r="A32" s="32">
        <v>46630</v>
      </c>
      <c r="B32" s="42">
        <f t="shared" si="8"/>
        <v>30</v>
      </c>
      <c r="C32" s="41">
        <f t="shared" si="12"/>
        <v>11568.539325842698</v>
      </c>
      <c r="D32" s="15">
        <v>0</v>
      </c>
      <c r="E32" s="15">
        <f t="shared" si="5"/>
        <v>1011.2359550561798</v>
      </c>
      <c r="F32" s="15">
        <f t="shared" si="21"/>
        <v>674.15730337078662</v>
      </c>
      <c r="G32" s="15">
        <f t="shared" si="22"/>
        <v>438.20224719101122</v>
      </c>
      <c r="H32" s="15">
        <f t="shared" si="2"/>
        <v>578.42696629213481</v>
      </c>
      <c r="I32" s="15">
        <f t="shared" si="10"/>
        <v>0</v>
      </c>
      <c r="J32" s="39">
        <f t="shared" si="11"/>
        <v>2702.0224719101125</v>
      </c>
      <c r="K32" s="45">
        <f t="shared" si="3"/>
        <v>8866.5168539325859</v>
      </c>
      <c r="L32" s="15"/>
      <c r="M32" s="102">
        <f t="shared" si="23"/>
        <v>25950.561797752813</v>
      </c>
      <c r="O32" s="32">
        <v>46630</v>
      </c>
      <c r="P32" s="21"/>
      <c r="Q32" s="15">
        <f t="shared" si="4"/>
        <v>1910.1123595505619</v>
      </c>
      <c r="R32" s="15">
        <f t="shared" si="4"/>
        <v>1910.1123595505619</v>
      </c>
      <c r="S32" s="36">
        <f t="shared" si="24"/>
        <v>0</v>
      </c>
      <c r="U32" s="17"/>
    </row>
    <row r="33" spans="1:21">
      <c r="A33" s="32">
        <v>46660</v>
      </c>
      <c r="B33" s="42">
        <f t="shared" si="8"/>
        <v>30</v>
      </c>
      <c r="C33" s="41">
        <f t="shared" si="12"/>
        <v>11568.539325842698</v>
      </c>
      <c r="D33" s="15">
        <v>0</v>
      </c>
      <c r="E33" s="15">
        <f t="shared" si="5"/>
        <v>1011.2359550561798</v>
      </c>
      <c r="F33" s="15">
        <f t="shared" si="21"/>
        <v>674.15730337078662</v>
      </c>
      <c r="G33" s="15">
        <f t="shared" si="22"/>
        <v>438.20224719101122</v>
      </c>
      <c r="H33" s="15">
        <f t="shared" si="2"/>
        <v>578.42696629213481</v>
      </c>
      <c r="I33" s="15">
        <f t="shared" si="10"/>
        <v>0</v>
      </c>
      <c r="J33" s="39">
        <f t="shared" si="11"/>
        <v>2702.0224719101125</v>
      </c>
      <c r="K33" s="45">
        <f t="shared" si="3"/>
        <v>8866.5168539325859</v>
      </c>
      <c r="L33" s="15"/>
      <c r="M33" s="102">
        <f t="shared" si="23"/>
        <v>34817.078651685399</v>
      </c>
      <c r="O33" s="32">
        <v>46660</v>
      </c>
      <c r="P33" s="21"/>
      <c r="Q33" s="15">
        <f t="shared" si="4"/>
        <v>1910.1123595505619</v>
      </c>
      <c r="R33" s="15">
        <f t="shared" si="4"/>
        <v>1910.1123595505619</v>
      </c>
      <c r="S33" s="36">
        <f t="shared" si="24"/>
        <v>0</v>
      </c>
      <c r="U33" s="17"/>
    </row>
    <row r="34" spans="1:21">
      <c r="A34" s="32">
        <v>46691</v>
      </c>
      <c r="B34" s="42">
        <f t="shared" si="8"/>
        <v>30</v>
      </c>
      <c r="C34" s="41">
        <f t="shared" si="12"/>
        <v>11568.539325842698</v>
      </c>
      <c r="D34" s="15">
        <v>0</v>
      </c>
      <c r="E34" s="15">
        <f t="shared" si="5"/>
        <v>1011.2359550561798</v>
      </c>
      <c r="F34" s="15">
        <f t="shared" si="21"/>
        <v>674.15730337078662</v>
      </c>
      <c r="G34" s="15">
        <f t="shared" si="22"/>
        <v>438.20224719101122</v>
      </c>
      <c r="H34" s="15">
        <f t="shared" si="2"/>
        <v>578.42696629213481</v>
      </c>
      <c r="I34" s="15">
        <f t="shared" si="10"/>
        <v>0</v>
      </c>
      <c r="J34" s="39">
        <f t="shared" si="11"/>
        <v>2702.0224719101125</v>
      </c>
      <c r="K34" s="45">
        <f t="shared" si="3"/>
        <v>8866.5168539325859</v>
      </c>
      <c r="L34" s="15"/>
      <c r="M34" s="102">
        <f t="shared" si="23"/>
        <v>43683.595505617981</v>
      </c>
      <c r="O34" s="32">
        <v>46691</v>
      </c>
      <c r="P34" s="21"/>
      <c r="Q34" s="15">
        <f t="shared" si="4"/>
        <v>1910.1123595505619</v>
      </c>
      <c r="R34" s="15">
        <f t="shared" si="4"/>
        <v>1910.1123595505619</v>
      </c>
      <c r="S34" s="36">
        <f t="shared" si="24"/>
        <v>0</v>
      </c>
      <c r="U34" s="17"/>
    </row>
    <row r="35" spans="1:21">
      <c r="A35" s="32">
        <v>46721</v>
      </c>
      <c r="B35" s="42">
        <f t="shared" si="8"/>
        <v>30</v>
      </c>
      <c r="C35" s="41">
        <f t="shared" si="12"/>
        <v>11568.539325842698</v>
      </c>
      <c r="D35" s="15">
        <v>0</v>
      </c>
      <c r="E35" s="15">
        <f t="shared" si="5"/>
        <v>1011.2359550561798</v>
      </c>
      <c r="F35" s="15">
        <f t="shared" si="21"/>
        <v>674.15730337078662</v>
      </c>
      <c r="G35" s="15">
        <f t="shared" si="22"/>
        <v>438.20224719101122</v>
      </c>
      <c r="H35" s="15">
        <f t="shared" si="2"/>
        <v>578.42696629213481</v>
      </c>
      <c r="I35" s="15">
        <f t="shared" si="10"/>
        <v>0</v>
      </c>
      <c r="J35" s="39">
        <f t="shared" si="11"/>
        <v>2702.0224719101125</v>
      </c>
      <c r="K35" s="45">
        <f t="shared" si="3"/>
        <v>8866.5168539325859</v>
      </c>
      <c r="L35" s="15"/>
      <c r="M35" s="102">
        <f t="shared" si="23"/>
        <v>52550.112359550563</v>
      </c>
      <c r="O35" s="32">
        <v>46721</v>
      </c>
      <c r="P35" s="21"/>
      <c r="Q35" s="15">
        <f t="shared" si="4"/>
        <v>1910.1123595505619</v>
      </c>
      <c r="R35" s="15">
        <f t="shared" si="4"/>
        <v>1910.1123595505619</v>
      </c>
      <c r="S35" s="36">
        <f t="shared" si="24"/>
        <v>0</v>
      </c>
      <c r="U35" s="17"/>
    </row>
    <row r="36" spans="1:21">
      <c r="A36" s="125">
        <v>46752</v>
      </c>
      <c r="B36" s="42">
        <f t="shared" si="8"/>
        <v>30</v>
      </c>
      <c r="C36" s="41">
        <f t="shared" si="12"/>
        <v>11568.539325842698</v>
      </c>
      <c r="D36" s="15">
        <v>0</v>
      </c>
      <c r="E36" s="15">
        <f t="shared" si="5"/>
        <v>1011.2359550561798</v>
      </c>
      <c r="F36" s="15">
        <f t="shared" si="21"/>
        <v>674.15730337078662</v>
      </c>
      <c r="G36" s="15">
        <f t="shared" si="22"/>
        <v>438.20224719101122</v>
      </c>
      <c r="H36" s="15">
        <f t="shared" si="2"/>
        <v>578.42696629213481</v>
      </c>
      <c r="I36" s="15">
        <f t="shared" si="10"/>
        <v>0</v>
      </c>
      <c r="J36" s="39">
        <f t="shared" si="11"/>
        <v>2702.0224719101125</v>
      </c>
      <c r="K36" s="45">
        <f t="shared" si="3"/>
        <v>8866.5168539325859</v>
      </c>
      <c r="L36" s="15"/>
      <c r="M36" s="102">
        <f t="shared" si="23"/>
        <v>61416.629213483146</v>
      </c>
      <c r="O36" s="125">
        <v>46752</v>
      </c>
      <c r="P36" s="21"/>
      <c r="Q36" s="15">
        <f t="shared" si="4"/>
        <v>1910.1123595505619</v>
      </c>
      <c r="R36" s="15">
        <f t="shared" si="4"/>
        <v>1910.1123595505619</v>
      </c>
      <c r="S36" s="36">
        <f t="shared" si="24"/>
        <v>0</v>
      </c>
    </row>
    <row r="37" spans="1:21">
      <c r="A37" s="32">
        <v>46783</v>
      </c>
      <c r="B37" s="42">
        <f t="shared" si="8"/>
        <v>30</v>
      </c>
      <c r="C37" s="41">
        <f t="shared" si="12"/>
        <v>11568.539325842698</v>
      </c>
      <c r="D37" s="15">
        <v>0</v>
      </c>
      <c r="E37" s="15">
        <f t="shared" si="5"/>
        <v>1011.2359550561798</v>
      </c>
      <c r="F37" s="15">
        <f t="shared" si="21"/>
        <v>674.15730337078662</v>
      </c>
      <c r="G37" s="15">
        <f t="shared" si="22"/>
        <v>438.20224719101122</v>
      </c>
      <c r="H37" s="15">
        <f t="shared" si="2"/>
        <v>578.42696629213481</v>
      </c>
      <c r="I37" s="15">
        <f t="shared" si="10"/>
        <v>0</v>
      </c>
      <c r="J37" s="39">
        <f t="shared" si="11"/>
        <v>2702.0224719101125</v>
      </c>
      <c r="K37" s="45">
        <f t="shared" si="3"/>
        <v>8866.5168539325859</v>
      </c>
      <c r="L37" s="15"/>
      <c r="M37" s="102">
        <f t="shared" si="23"/>
        <v>70283.146067415728</v>
      </c>
      <c r="O37" s="32">
        <v>46783</v>
      </c>
      <c r="P37" s="21"/>
      <c r="Q37" s="15">
        <f t="shared" ref="Q37:R38" si="25">($E$3*50%)</f>
        <v>1910.1123595505619</v>
      </c>
      <c r="R37" s="15">
        <f t="shared" si="25"/>
        <v>1910.1123595505619</v>
      </c>
      <c r="S37" s="36">
        <f t="shared" si="24"/>
        <v>0</v>
      </c>
    </row>
    <row r="38" spans="1:21" ht="16.2" thickBot="1">
      <c r="A38" s="32">
        <v>46812</v>
      </c>
      <c r="B38" s="42">
        <f t="shared" si="8"/>
        <v>30</v>
      </c>
      <c r="C38" s="41">
        <f t="shared" si="12"/>
        <v>11568.539325842698</v>
      </c>
      <c r="D38" s="15">
        <v>0</v>
      </c>
      <c r="E38" s="15">
        <f t="shared" si="5"/>
        <v>1011.2359550561798</v>
      </c>
      <c r="F38" s="15">
        <f t="shared" si="21"/>
        <v>674.15730337078662</v>
      </c>
      <c r="G38" s="15">
        <f t="shared" si="22"/>
        <v>438.20224719101122</v>
      </c>
      <c r="H38" s="15">
        <f t="shared" si="2"/>
        <v>578.42696629213481</v>
      </c>
      <c r="I38" s="15">
        <f t="shared" si="10"/>
        <v>0</v>
      </c>
      <c r="J38" s="39">
        <f t="shared" si="11"/>
        <v>2702.0224719101125</v>
      </c>
      <c r="K38" s="45">
        <f t="shared" si="3"/>
        <v>8866.5168539325859</v>
      </c>
      <c r="L38" s="15"/>
      <c r="M38" s="102">
        <f t="shared" si="23"/>
        <v>79149.66292134831</v>
      </c>
      <c r="O38" s="32">
        <v>46812</v>
      </c>
      <c r="P38" s="34"/>
      <c r="Q38" s="35">
        <f t="shared" si="25"/>
        <v>1910.1123595505619</v>
      </c>
      <c r="R38" s="35">
        <f t="shared" si="25"/>
        <v>1910.1123595505619</v>
      </c>
      <c r="S38" s="37">
        <f t="shared" si="24"/>
        <v>0</v>
      </c>
    </row>
    <row r="39" spans="1:21">
      <c r="A39" s="32">
        <v>46843</v>
      </c>
      <c r="B39" s="42">
        <f t="shared" si="8"/>
        <v>30</v>
      </c>
      <c r="C39" s="41">
        <f t="shared" si="12"/>
        <v>11568.539325842698</v>
      </c>
      <c r="D39" s="15">
        <v>0</v>
      </c>
      <c r="E39" s="15">
        <f t="shared" si="5"/>
        <v>1011.2359550561798</v>
      </c>
      <c r="F39" s="15">
        <f t="shared" si="21"/>
        <v>674.15730337078662</v>
      </c>
      <c r="G39" s="15">
        <f t="shared" si="22"/>
        <v>438.20224719101122</v>
      </c>
      <c r="H39" s="15">
        <f t="shared" si="2"/>
        <v>578.42696629213481</v>
      </c>
      <c r="I39" s="15">
        <f t="shared" si="10"/>
        <v>0</v>
      </c>
      <c r="J39" s="39">
        <f t="shared" si="11"/>
        <v>2702.0224719101125</v>
      </c>
      <c r="K39" s="45">
        <f t="shared" si="3"/>
        <v>8866.5168539325859</v>
      </c>
      <c r="L39" s="15"/>
      <c r="M39" s="102">
        <f t="shared" ref="M39:M50" si="26">L39+K39+M38-S38</f>
        <v>88016.179775280892</v>
      </c>
      <c r="O39" s="32">
        <v>46843</v>
      </c>
    </row>
    <row r="40" spans="1:21">
      <c r="A40" s="32">
        <v>46873</v>
      </c>
      <c r="B40" s="42">
        <f t="shared" si="8"/>
        <v>30</v>
      </c>
      <c r="C40" s="41">
        <f t="shared" si="12"/>
        <v>11568.539325842698</v>
      </c>
      <c r="D40" s="15">
        <v>0</v>
      </c>
      <c r="E40" s="15">
        <f t="shared" si="5"/>
        <v>1011.2359550561798</v>
      </c>
      <c r="F40" s="15">
        <f t="shared" si="21"/>
        <v>674.15730337078662</v>
      </c>
      <c r="G40" s="15">
        <f t="shared" si="22"/>
        <v>438.20224719101122</v>
      </c>
      <c r="H40" s="15">
        <f t="shared" si="2"/>
        <v>578.42696629213481</v>
      </c>
      <c r="I40" s="15">
        <f t="shared" si="10"/>
        <v>0</v>
      </c>
      <c r="J40" s="39">
        <f t="shared" si="11"/>
        <v>2702.0224719101125</v>
      </c>
      <c r="K40" s="45">
        <f t="shared" si="3"/>
        <v>8866.5168539325859</v>
      </c>
      <c r="L40" s="15"/>
      <c r="M40" s="102">
        <f t="shared" si="26"/>
        <v>96882.696629213475</v>
      </c>
      <c r="O40" s="32">
        <v>46873</v>
      </c>
    </row>
    <row r="41" spans="1:21">
      <c r="A41" s="32">
        <v>46904</v>
      </c>
      <c r="B41" s="42">
        <f t="shared" si="8"/>
        <v>30</v>
      </c>
      <c r="C41" s="41">
        <f t="shared" si="12"/>
        <v>11568.539325842698</v>
      </c>
      <c r="D41" s="15">
        <v>0</v>
      </c>
      <c r="E41" s="15">
        <f t="shared" si="5"/>
        <v>1011.2359550561798</v>
      </c>
      <c r="F41" s="15">
        <f t="shared" si="21"/>
        <v>674.15730337078662</v>
      </c>
      <c r="G41" s="15">
        <f t="shared" si="22"/>
        <v>438.20224719101122</v>
      </c>
      <c r="H41" s="15">
        <f t="shared" si="2"/>
        <v>578.42696629213481</v>
      </c>
      <c r="I41" s="15">
        <f t="shared" si="10"/>
        <v>0</v>
      </c>
      <c r="J41" s="39">
        <f t="shared" si="11"/>
        <v>2702.0224719101125</v>
      </c>
      <c r="K41" s="45">
        <f t="shared" si="3"/>
        <v>8866.5168539325859</v>
      </c>
      <c r="L41" s="15"/>
      <c r="M41" s="102">
        <f t="shared" si="26"/>
        <v>105749.21348314606</v>
      </c>
      <c r="O41" s="32">
        <v>46904</v>
      </c>
    </row>
    <row r="42" spans="1:21">
      <c r="A42" s="32">
        <v>46934</v>
      </c>
      <c r="B42" s="42">
        <f t="shared" si="8"/>
        <v>30</v>
      </c>
      <c r="C42" s="41">
        <f t="shared" si="12"/>
        <v>11568.539325842698</v>
      </c>
      <c r="D42" s="15">
        <v>0</v>
      </c>
      <c r="E42" s="15">
        <f t="shared" si="5"/>
        <v>1011.2359550561798</v>
      </c>
      <c r="F42" s="15">
        <f t="shared" si="21"/>
        <v>674.15730337078662</v>
      </c>
      <c r="G42" s="15">
        <f t="shared" si="22"/>
        <v>438.20224719101122</v>
      </c>
      <c r="H42" s="15">
        <f t="shared" si="2"/>
        <v>578.42696629213481</v>
      </c>
      <c r="I42" s="15">
        <f t="shared" si="10"/>
        <v>0</v>
      </c>
      <c r="J42" s="39">
        <f t="shared" si="11"/>
        <v>2702.0224719101125</v>
      </c>
      <c r="K42" s="45">
        <f t="shared" si="3"/>
        <v>8866.5168539325859</v>
      </c>
      <c r="L42" s="15"/>
      <c r="M42" s="102">
        <f t="shared" si="26"/>
        <v>114615.73033707864</v>
      </c>
      <c r="O42" s="32">
        <v>46934</v>
      </c>
    </row>
    <row r="43" spans="1:21">
      <c r="A43" s="32">
        <v>46965</v>
      </c>
      <c r="B43" s="42">
        <f t="shared" si="8"/>
        <v>30</v>
      </c>
      <c r="C43" s="41">
        <f t="shared" si="12"/>
        <v>11568.539325842698</v>
      </c>
      <c r="D43" s="15">
        <v>0</v>
      </c>
      <c r="E43" s="15">
        <f t="shared" si="5"/>
        <v>1011.2359550561798</v>
      </c>
      <c r="F43" s="15">
        <f t="shared" si="21"/>
        <v>674.15730337078662</v>
      </c>
      <c r="G43" s="15">
        <f t="shared" si="22"/>
        <v>438.20224719101122</v>
      </c>
      <c r="H43" s="15">
        <f t="shared" si="2"/>
        <v>578.42696629213481</v>
      </c>
      <c r="I43" s="15">
        <f t="shared" si="10"/>
        <v>0</v>
      </c>
      <c r="J43" s="39">
        <f t="shared" si="11"/>
        <v>2702.0224719101125</v>
      </c>
      <c r="K43" s="45">
        <f t="shared" si="3"/>
        <v>8866.5168539325859</v>
      </c>
      <c r="L43" s="15"/>
      <c r="M43" s="102">
        <f t="shared" si="26"/>
        <v>123482.24719101122</v>
      </c>
      <c r="O43" s="32">
        <v>46965</v>
      </c>
    </row>
    <row r="44" spans="1:21">
      <c r="A44" s="32">
        <v>46996</v>
      </c>
      <c r="B44" s="42">
        <f t="shared" si="8"/>
        <v>30</v>
      </c>
      <c r="C44" s="41">
        <f t="shared" si="12"/>
        <v>11568.539325842698</v>
      </c>
      <c r="D44" s="15">
        <v>0</v>
      </c>
      <c r="E44" s="15">
        <f t="shared" si="5"/>
        <v>1011.2359550561798</v>
      </c>
      <c r="F44" s="15">
        <f t="shared" si="21"/>
        <v>674.15730337078662</v>
      </c>
      <c r="G44" s="15">
        <f t="shared" si="22"/>
        <v>438.20224719101122</v>
      </c>
      <c r="H44" s="15">
        <f t="shared" si="2"/>
        <v>578.42696629213481</v>
      </c>
      <c r="I44" s="15">
        <f t="shared" si="10"/>
        <v>0</v>
      </c>
      <c r="J44" s="39">
        <f t="shared" si="11"/>
        <v>2702.0224719101125</v>
      </c>
      <c r="K44" s="45">
        <f t="shared" si="3"/>
        <v>8866.5168539325859</v>
      </c>
      <c r="L44" s="15"/>
      <c r="M44" s="102">
        <f t="shared" si="26"/>
        <v>132348.76404494382</v>
      </c>
      <c r="O44" s="32">
        <v>46996</v>
      </c>
    </row>
    <row r="45" spans="1:21">
      <c r="A45" s="32">
        <v>47026</v>
      </c>
      <c r="B45" s="42">
        <f t="shared" si="8"/>
        <v>30</v>
      </c>
      <c r="C45" s="41">
        <f t="shared" si="12"/>
        <v>11568.539325842698</v>
      </c>
      <c r="D45" s="15">
        <v>0</v>
      </c>
      <c r="E45" s="15">
        <f t="shared" si="5"/>
        <v>1011.2359550561798</v>
      </c>
      <c r="F45" s="15">
        <f t="shared" si="21"/>
        <v>674.15730337078662</v>
      </c>
      <c r="G45" s="15">
        <f t="shared" si="22"/>
        <v>438.20224719101122</v>
      </c>
      <c r="H45" s="15">
        <f t="shared" si="2"/>
        <v>578.42696629213481</v>
      </c>
      <c r="I45" s="15">
        <f t="shared" si="10"/>
        <v>0</v>
      </c>
      <c r="J45" s="39">
        <f t="shared" si="11"/>
        <v>2702.0224719101125</v>
      </c>
      <c r="K45" s="45">
        <f t="shared" si="3"/>
        <v>8866.5168539325859</v>
      </c>
      <c r="L45" s="15"/>
      <c r="M45" s="102">
        <f t="shared" si="26"/>
        <v>141215.2808988764</v>
      </c>
      <c r="O45" s="32">
        <v>47026</v>
      </c>
    </row>
    <row r="46" spans="1:21">
      <c r="A46" s="32">
        <v>47057</v>
      </c>
      <c r="B46" s="42">
        <f t="shared" si="8"/>
        <v>30</v>
      </c>
      <c r="C46" s="41">
        <f t="shared" si="12"/>
        <v>11568.539325842698</v>
      </c>
      <c r="D46" s="15">
        <v>0</v>
      </c>
      <c r="E46" s="15">
        <f t="shared" si="5"/>
        <v>1011.2359550561798</v>
      </c>
      <c r="F46" s="15">
        <f t="shared" si="21"/>
        <v>674.15730337078662</v>
      </c>
      <c r="G46" s="15">
        <f t="shared" si="22"/>
        <v>438.20224719101122</v>
      </c>
      <c r="H46" s="15">
        <f t="shared" si="2"/>
        <v>578.42696629213481</v>
      </c>
      <c r="I46" s="15">
        <f t="shared" si="10"/>
        <v>0</v>
      </c>
      <c r="J46" s="39">
        <f t="shared" si="11"/>
        <v>2702.0224719101125</v>
      </c>
      <c r="K46" s="45">
        <f t="shared" si="3"/>
        <v>8866.5168539325859</v>
      </c>
      <c r="L46" s="15"/>
      <c r="M46" s="102">
        <f t="shared" si="26"/>
        <v>150081.79775280898</v>
      </c>
      <c r="O46" s="32">
        <v>47057</v>
      </c>
    </row>
    <row r="47" spans="1:21">
      <c r="A47" s="32">
        <v>47087</v>
      </c>
      <c r="B47" s="42">
        <f t="shared" si="8"/>
        <v>30</v>
      </c>
      <c r="C47" s="41">
        <f t="shared" si="12"/>
        <v>11568.539325842698</v>
      </c>
      <c r="D47" s="15">
        <v>0</v>
      </c>
      <c r="E47" s="15">
        <f t="shared" si="5"/>
        <v>1011.2359550561798</v>
      </c>
      <c r="F47" s="15">
        <f t="shared" si="21"/>
        <v>674.15730337078662</v>
      </c>
      <c r="G47" s="15">
        <f t="shared" si="22"/>
        <v>438.20224719101122</v>
      </c>
      <c r="H47" s="15">
        <f t="shared" si="2"/>
        <v>578.42696629213481</v>
      </c>
      <c r="I47" s="15">
        <f t="shared" si="10"/>
        <v>0</v>
      </c>
      <c r="J47" s="39">
        <f t="shared" si="11"/>
        <v>2702.0224719101125</v>
      </c>
      <c r="K47" s="45">
        <f t="shared" si="3"/>
        <v>8866.5168539325859</v>
      </c>
      <c r="L47" s="15"/>
      <c r="M47" s="102">
        <f t="shared" si="26"/>
        <v>158948.31460674157</v>
      </c>
      <c r="O47" s="32">
        <v>47087</v>
      </c>
    </row>
    <row r="48" spans="1:21" ht="16.2" thickBot="1">
      <c r="A48" s="128">
        <v>47118</v>
      </c>
      <c r="B48" s="42">
        <f t="shared" si="8"/>
        <v>30</v>
      </c>
      <c r="C48" s="41">
        <f t="shared" si="12"/>
        <v>11568.539325842698</v>
      </c>
      <c r="D48" s="15">
        <v>0</v>
      </c>
      <c r="E48" s="15">
        <f t="shared" si="5"/>
        <v>1011.2359550561798</v>
      </c>
      <c r="F48" s="15">
        <f t="shared" si="21"/>
        <v>674.15730337078662</v>
      </c>
      <c r="G48" s="15">
        <f t="shared" si="22"/>
        <v>438.20224719101122</v>
      </c>
      <c r="H48" s="15">
        <f t="shared" si="2"/>
        <v>578.42696629213481</v>
      </c>
      <c r="I48" s="15">
        <f t="shared" si="10"/>
        <v>0</v>
      </c>
      <c r="J48" s="39">
        <f t="shared" si="11"/>
        <v>2702.0224719101125</v>
      </c>
      <c r="K48" s="45">
        <f t="shared" si="3"/>
        <v>8866.5168539325859</v>
      </c>
      <c r="L48" s="15"/>
      <c r="M48" s="102">
        <f t="shared" si="26"/>
        <v>167814.83146067415</v>
      </c>
      <c r="O48" s="33">
        <v>47118</v>
      </c>
    </row>
    <row r="49" spans="1:13">
      <c r="A49" s="128">
        <v>47149</v>
      </c>
      <c r="B49" s="42">
        <f t="shared" si="8"/>
        <v>30</v>
      </c>
      <c r="C49" s="41">
        <f t="shared" si="12"/>
        <v>11568.539325842698</v>
      </c>
      <c r="D49" s="15">
        <v>0</v>
      </c>
      <c r="E49" s="15">
        <f t="shared" si="5"/>
        <v>1011.2359550561798</v>
      </c>
      <c r="F49" s="15">
        <f t="shared" si="21"/>
        <v>674.15730337078662</v>
      </c>
      <c r="G49" s="15">
        <f t="shared" si="22"/>
        <v>438.20224719101122</v>
      </c>
      <c r="H49" s="15">
        <f t="shared" si="2"/>
        <v>578.42696629213481</v>
      </c>
      <c r="I49" s="15">
        <f t="shared" si="10"/>
        <v>0</v>
      </c>
      <c r="J49" s="39">
        <f t="shared" si="11"/>
        <v>2702.0224719101125</v>
      </c>
      <c r="K49" s="45">
        <f t="shared" si="3"/>
        <v>8866.5168539325859</v>
      </c>
      <c r="L49" s="15"/>
      <c r="M49" s="102">
        <f t="shared" si="26"/>
        <v>176681.34831460673</v>
      </c>
    </row>
    <row r="50" spans="1:13" ht="16.2" thickBot="1">
      <c r="A50" s="128">
        <v>47177</v>
      </c>
      <c r="B50" s="42">
        <f t="shared" si="8"/>
        <v>30</v>
      </c>
      <c r="C50" s="41">
        <f t="shared" si="12"/>
        <v>11568.539325842698</v>
      </c>
      <c r="D50" s="35">
        <v>0</v>
      </c>
      <c r="E50" s="35">
        <f t="shared" si="5"/>
        <v>1011.2359550561798</v>
      </c>
      <c r="F50" s="35">
        <f t="shared" si="21"/>
        <v>674.15730337078662</v>
      </c>
      <c r="G50" s="35">
        <f t="shared" si="22"/>
        <v>438.20224719101122</v>
      </c>
      <c r="H50" s="35">
        <f t="shared" si="2"/>
        <v>578.42696629213481</v>
      </c>
      <c r="I50" s="15">
        <f t="shared" si="10"/>
        <v>0</v>
      </c>
      <c r="J50" s="40">
        <f t="shared" si="11"/>
        <v>2702.0224719101125</v>
      </c>
      <c r="K50" s="46">
        <f t="shared" si="3"/>
        <v>8866.5168539325859</v>
      </c>
      <c r="L50" s="35"/>
      <c r="M50" s="103">
        <f t="shared" si="26"/>
        <v>185547.86516853931</v>
      </c>
    </row>
  </sheetData>
  <mergeCells count="37">
    <mergeCell ref="D11:J11"/>
    <mergeCell ref="G4:H4"/>
    <mergeCell ref="K11:K12"/>
    <mergeCell ref="L11:L12"/>
    <mergeCell ref="M11:M12"/>
    <mergeCell ref="A10:M10"/>
    <mergeCell ref="A11:A12"/>
    <mergeCell ref="B11:B12"/>
    <mergeCell ref="C11:C12"/>
    <mergeCell ref="A7:C7"/>
    <mergeCell ref="O11:O12"/>
    <mergeCell ref="P11:P12"/>
    <mergeCell ref="O10:S10"/>
    <mergeCell ref="L4:N4"/>
    <mergeCell ref="L3:N3"/>
    <mergeCell ref="L5:N5"/>
    <mergeCell ref="Q11:Q12"/>
    <mergeCell ref="R11:R12"/>
    <mergeCell ref="S11:S12"/>
    <mergeCell ref="N11:N12"/>
    <mergeCell ref="L8:N8"/>
    <mergeCell ref="A3:C3"/>
    <mergeCell ref="A4:C4"/>
    <mergeCell ref="A6:C6"/>
    <mergeCell ref="G2:H2"/>
    <mergeCell ref="G3:H3"/>
    <mergeCell ref="G5:H5"/>
    <mergeCell ref="A2:C2"/>
    <mergeCell ref="A5:C5"/>
    <mergeCell ref="D1:E1"/>
    <mergeCell ref="G6:H6"/>
    <mergeCell ref="G1:J1"/>
    <mergeCell ref="F8:H8"/>
    <mergeCell ref="L6:N6"/>
    <mergeCell ref="L7:N7"/>
    <mergeCell ref="L2:N2"/>
    <mergeCell ref="L1:P1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E058-7C14-6F46-98F4-8B0DAE53BC24}">
  <sheetPr>
    <tabColor rgb="FF00B050"/>
  </sheetPr>
  <dimension ref="A1:I43"/>
  <sheetViews>
    <sheetView zoomScale="110" zoomScaleNormal="110" workbookViewId="0">
      <pane xSplit="3" ySplit="3" topLeftCell="E23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baseColWidth="10" defaultRowHeight="15.6"/>
  <cols>
    <col min="1" max="1" width="17.19921875" bestFit="1" customWidth="1"/>
    <col min="4" max="4" width="16.296875" bestFit="1" customWidth="1"/>
    <col min="5" max="5" width="10.5" bestFit="1" customWidth="1"/>
    <col min="6" max="6" width="10.69921875" bestFit="1" customWidth="1"/>
    <col min="7" max="7" width="38.296875" customWidth="1"/>
    <col min="8" max="8" width="25.5" customWidth="1"/>
    <col min="9" max="9" width="27.5" customWidth="1"/>
  </cols>
  <sheetData>
    <row r="1" spans="1:9">
      <c r="B1" s="61">
        <v>4450</v>
      </c>
      <c r="C1" s="61"/>
      <c r="D1" s="188" t="s">
        <v>27</v>
      </c>
      <c r="E1" s="188"/>
    </row>
    <row r="2" spans="1:9" ht="19.95" customHeight="1">
      <c r="A2" s="186" t="s">
        <v>1</v>
      </c>
      <c r="B2" s="186"/>
      <c r="C2" s="186"/>
      <c r="D2" s="64" t="s">
        <v>7</v>
      </c>
      <c r="E2" s="65" t="s">
        <v>8</v>
      </c>
    </row>
    <row r="3" spans="1:9" ht="19.05" customHeight="1" thickBot="1">
      <c r="A3" s="187" t="s">
        <v>0</v>
      </c>
      <c r="B3" s="187"/>
      <c r="C3" s="187"/>
      <c r="D3" s="66">
        <v>17000000</v>
      </c>
      <c r="E3" s="67">
        <f>D3/B$1</f>
        <v>3820.2247191011238</v>
      </c>
    </row>
    <row r="4" spans="1:9" ht="16.05" customHeight="1">
      <c r="A4" s="68"/>
      <c r="B4" s="68"/>
      <c r="C4" s="68"/>
      <c r="D4" s="68"/>
      <c r="E4" s="68"/>
      <c r="G4" s="189" t="s">
        <v>166</v>
      </c>
      <c r="H4" s="190"/>
      <c r="I4" s="191"/>
    </row>
    <row r="5" spans="1:9" ht="19.95" customHeight="1">
      <c r="A5" s="186" t="s">
        <v>40</v>
      </c>
      <c r="B5" s="186"/>
      <c r="C5" s="186"/>
      <c r="D5" s="64" t="s">
        <v>7</v>
      </c>
      <c r="E5" s="65" t="s">
        <v>8</v>
      </c>
      <c r="G5" s="192"/>
      <c r="H5" s="193"/>
      <c r="I5" s="194"/>
    </row>
    <row r="6" spans="1:9" ht="21" customHeight="1">
      <c r="A6" s="187">
        <v>36</v>
      </c>
      <c r="B6" s="187"/>
      <c r="C6" s="187"/>
      <c r="D6" s="66">
        <f>$D$3/$A$6</f>
        <v>472222.22222222225</v>
      </c>
      <c r="E6" s="67">
        <f>$D$6/$B$1</f>
        <v>106.11735330836456</v>
      </c>
      <c r="G6" s="192"/>
      <c r="H6" s="193"/>
      <c r="I6" s="194"/>
    </row>
    <row r="7" spans="1:9" ht="16.05" customHeight="1">
      <c r="G7" s="192"/>
      <c r="H7" s="193"/>
      <c r="I7" s="194"/>
    </row>
    <row r="8" spans="1:9" ht="16.05" customHeight="1">
      <c r="A8" s="32">
        <v>46022</v>
      </c>
      <c r="B8" s="185" t="s">
        <v>41</v>
      </c>
      <c r="C8" s="185"/>
      <c r="D8" s="50">
        <f>D3-$D$6</f>
        <v>16527777.777777778</v>
      </c>
      <c r="E8" s="49">
        <f t="shared" ref="E8:E43" si="0">D8/B$1</f>
        <v>3714.1073657927591</v>
      </c>
      <c r="G8" s="192"/>
      <c r="H8" s="193"/>
      <c r="I8" s="194"/>
    </row>
    <row r="9" spans="1:9" ht="16.05" customHeight="1">
      <c r="A9" s="32">
        <v>46053</v>
      </c>
      <c r="B9" s="185" t="s">
        <v>42</v>
      </c>
      <c r="C9" s="185"/>
      <c r="D9" s="50">
        <f t="shared" ref="D9:D43" si="1">D8-$D$6</f>
        <v>16055555.555555556</v>
      </c>
      <c r="E9" s="49">
        <f t="shared" si="0"/>
        <v>3607.9900124843948</v>
      </c>
      <c r="G9" s="192"/>
      <c r="H9" s="193"/>
      <c r="I9" s="194"/>
    </row>
    <row r="10" spans="1:9" ht="16.05" customHeight="1">
      <c r="A10" s="32">
        <v>46081</v>
      </c>
      <c r="B10" s="185" t="s">
        <v>43</v>
      </c>
      <c r="C10" s="185"/>
      <c r="D10" s="50">
        <f t="shared" si="1"/>
        <v>15583333.333333334</v>
      </c>
      <c r="E10" s="49">
        <f t="shared" si="0"/>
        <v>3501.8726591760301</v>
      </c>
      <c r="G10" s="192"/>
      <c r="H10" s="193"/>
      <c r="I10" s="194"/>
    </row>
    <row r="11" spans="1:9" ht="16.05" customHeight="1">
      <c r="A11" s="32">
        <v>46112</v>
      </c>
      <c r="B11" s="185" t="s">
        <v>44</v>
      </c>
      <c r="C11" s="185"/>
      <c r="D11" s="50">
        <f t="shared" si="1"/>
        <v>15111111.111111112</v>
      </c>
      <c r="E11" s="49">
        <f t="shared" si="0"/>
        <v>3395.7553058676658</v>
      </c>
      <c r="G11" s="192"/>
      <c r="H11" s="193"/>
      <c r="I11" s="194"/>
    </row>
    <row r="12" spans="1:9" ht="16.05" customHeight="1">
      <c r="A12" s="32">
        <v>46142</v>
      </c>
      <c r="B12" s="185" t="s">
        <v>45</v>
      </c>
      <c r="C12" s="185"/>
      <c r="D12" s="50">
        <f t="shared" si="1"/>
        <v>14638888.88888889</v>
      </c>
      <c r="E12" s="49">
        <f t="shared" si="0"/>
        <v>3289.6379525593011</v>
      </c>
      <c r="G12" s="192"/>
      <c r="H12" s="193"/>
      <c r="I12" s="194"/>
    </row>
    <row r="13" spans="1:9" ht="16.05" customHeight="1">
      <c r="A13" s="32">
        <v>46173</v>
      </c>
      <c r="B13" s="185" t="s">
        <v>46</v>
      </c>
      <c r="C13" s="185"/>
      <c r="D13" s="50">
        <f t="shared" si="1"/>
        <v>14166666.666666668</v>
      </c>
      <c r="E13" s="49">
        <f t="shared" si="0"/>
        <v>3183.5205992509368</v>
      </c>
      <c r="G13" s="192"/>
      <c r="H13" s="193"/>
      <c r="I13" s="194"/>
    </row>
    <row r="14" spans="1:9" ht="16.05" customHeight="1">
      <c r="A14" s="32">
        <v>46203</v>
      </c>
      <c r="B14" s="185" t="s">
        <v>47</v>
      </c>
      <c r="C14" s="185"/>
      <c r="D14" s="50">
        <f t="shared" si="1"/>
        <v>13694444.444444446</v>
      </c>
      <c r="E14" s="49">
        <f t="shared" si="0"/>
        <v>3077.4032459425721</v>
      </c>
      <c r="G14" s="192"/>
      <c r="H14" s="193"/>
      <c r="I14" s="194"/>
    </row>
    <row r="15" spans="1:9" ht="16.05" customHeight="1">
      <c r="A15" s="32">
        <v>46234</v>
      </c>
      <c r="B15" s="185" t="s">
        <v>48</v>
      </c>
      <c r="C15" s="185"/>
      <c r="D15" s="50">
        <f t="shared" si="1"/>
        <v>13222222.222222224</v>
      </c>
      <c r="E15" s="49">
        <f t="shared" si="0"/>
        <v>2971.2858926342078</v>
      </c>
      <c r="G15" s="192"/>
      <c r="H15" s="193"/>
      <c r="I15" s="194"/>
    </row>
    <row r="16" spans="1:9" ht="16.05" customHeight="1">
      <c r="A16" s="32">
        <v>46265</v>
      </c>
      <c r="B16" s="185" t="s">
        <v>49</v>
      </c>
      <c r="C16" s="185"/>
      <c r="D16" s="50">
        <f t="shared" si="1"/>
        <v>12750000.000000002</v>
      </c>
      <c r="E16" s="49">
        <f t="shared" si="0"/>
        <v>2865.1685393258431</v>
      </c>
      <c r="G16" s="192"/>
      <c r="H16" s="193"/>
      <c r="I16" s="194"/>
    </row>
    <row r="17" spans="1:9" ht="16.05" customHeight="1">
      <c r="A17" s="32">
        <v>46295</v>
      </c>
      <c r="B17" s="185" t="s">
        <v>50</v>
      </c>
      <c r="C17" s="185"/>
      <c r="D17" s="50">
        <f t="shared" si="1"/>
        <v>12277777.77777778</v>
      </c>
      <c r="E17" s="49">
        <f t="shared" si="0"/>
        <v>2759.0511860174788</v>
      </c>
      <c r="G17" s="192"/>
      <c r="H17" s="193"/>
      <c r="I17" s="194"/>
    </row>
    <row r="18" spans="1:9" ht="16.05" customHeight="1">
      <c r="A18" s="32">
        <v>46326</v>
      </c>
      <c r="B18" s="185" t="s">
        <v>51</v>
      </c>
      <c r="C18" s="185"/>
      <c r="D18" s="50">
        <f t="shared" si="1"/>
        <v>11805555.555555558</v>
      </c>
      <c r="E18" s="49">
        <f t="shared" si="0"/>
        <v>2652.9338327091141</v>
      </c>
      <c r="G18" s="192"/>
      <c r="H18" s="193"/>
      <c r="I18" s="194"/>
    </row>
    <row r="19" spans="1:9" ht="16.05" customHeight="1">
      <c r="A19" s="32">
        <v>46356</v>
      </c>
      <c r="B19" s="185" t="s">
        <v>52</v>
      </c>
      <c r="C19" s="185"/>
      <c r="D19" s="50">
        <f t="shared" si="1"/>
        <v>11333333.333333336</v>
      </c>
      <c r="E19" s="49">
        <f t="shared" si="0"/>
        <v>2546.8164794007498</v>
      </c>
      <c r="G19" s="192"/>
      <c r="H19" s="193"/>
      <c r="I19" s="194"/>
    </row>
    <row r="20" spans="1:9" ht="16.05" customHeight="1">
      <c r="A20" s="32">
        <v>46387</v>
      </c>
      <c r="B20" s="185" t="s">
        <v>53</v>
      </c>
      <c r="C20" s="185"/>
      <c r="D20" s="50">
        <f t="shared" si="1"/>
        <v>10861111.111111114</v>
      </c>
      <c r="E20" s="49">
        <f t="shared" si="0"/>
        <v>2440.6991260923851</v>
      </c>
      <c r="G20" s="192"/>
      <c r="H20" s="193"/>
      <c r="I20" s="194"/>
    </row>
    <row r="21" spans="1:9" ht="16.05" customHeight="1">
      <c r="A21" s="32">
        <v>46418</v>
      </c>
      <c r="B21" s="185" t="s">
        <v>54</v>
      </c>
      <c r="C21" s="185"/>
      <c r="D21" s="50">
        <f t="shared" si="1"/>
        <v>10388888.888888892</v>
      </c>
      <c r="E21" s="49">
        <f t="shared" si="0"/>
        <v>2334.5817727840208</v>
      </c>
      <c r="G21" s="192"/>
      <c r="H21" s="193"/>
      <c r="I21" s="194"/>
    </row>
    <row r="22" spans="1:9" ht="16.05" customHeight="1">
      <c r="A22" s="32">
        <v>46446</v>
      </c>
      <c r="B22" s="185" t="s">
        <v>55</v>
      </c>
      <c r="C22" s="185"/>
      <c r="D22" s="50">
        <f t="shared" si="1"/>
        <v>9916666.6666666698</v>
      </c>
      <c r="E22" s="49">
        <f t="shared" si="0"/>
        <v>2228.4644194756561</v>
      </c>
      <c r="G22" s="192"/>
      <c r="H22" s="193"/>
      <c r="I22" s="194"/>
    </row>
    <row r="23" spans="1:9" ht="16.05" customHeight="1">
      <c r="A23" s="32">
        <v>46477</v>
      </c>
      <c r="B23" s="185" t="s">
        <v>56</v>
      </c>
      <c r="C23" s="185"/>
      <c r="D23" s="50">
        <f t="shared" si="1"/>
        <v>9444444.4444444478</v>
      </c>
      <c r="E23" s="49">
        <f t="shared" si="0"/>
        <v>2122.3470661672918</v>
      </c>
      <c r="G23" s="192"/>
      <c r="H23" s="193"/>
      <c r="I23" s="194"/>
    </row>
    <row r="24" spans="1:9" ht="16.05" customHeight="1">
      <c r="A24" s="32">
        <v>46507</v>
      </c>
      <c r="B24" s="185" t="s">
        <v>57</v>
      </c>
      <c r="C24" s="185"/>
      <c r="D24" s="50">
        <f t="shared" si="1"/>
        <v>8972222.2222222257</v>
      </c>
      <c r="E24" s="49">
        <f t="shared" si="0"/>
        <v>2016.2297128589271</v>
      </c>
      <c r="G24" s="192"/>
      <c r="H24" s="193"/>
      <c r="I24" s="194"/>
    </row>
    <row r="25" spans="1:9" ht="16.05" customHeight="1">
      <c r="A25" s="32">
        <v>46538</v>
      </c>
      <c r="B25" s="185" t="s">
        <v>58</v>
      </c>
      <c r="C25" s="185"/>
      <c r="D25" s="50">
        <f t="shared" si="1"/>
        <v>8500000.0000000037</v>
      </c>
      <c r="E25" s="49">
        <f t="shared" si="0"/>
        <v>1910.1123595505626</v>
      </c>
      <c r="G25" s="192"/>
      <c r="H25" s="193"/>
      <c r="I25" s="194"/>
    </row>
    <row r="26" spans="1:9" ht="16.05" customHeight="1">
      <c r="A26" s="32">
        <v>46568</v>
      </c>
      <c r="B26" s="185" t="s">
        <v>59</v>
      </c>
      <c r="C26" s="185"/>
      <c r="D26" s="50">
        <f t="shared" si="1"/>
        <v>8027777.7777777817</v>
      </c>
      <c r="E26" s="49">
        <f t="shared" si="0"/>
        <v>1803.9950062421981</v>
      </c>
      <c r="G26" s="192"/>
      <c r="H26" s="193"/>
      <c r="I26" s="194"/>
    </row>
    <row r="27" spans="1:9" ht="16.05" customHeight="1">
      <c r="A27" s="32">
        <v>46599</v>
      </c>
      <c r="B27" s="185" t="s">
        <v>60</v>
      </c>
      <c r="C27" s="185"/>
      <c r="D27" s="50">
        <f t="shared" si="1"/>
        <v>7555555.5555555597</v>
      </c>
      <c r="E27" s="49">
        <f t="shared" si="0"/>
        <v>1697.8776529338336</v>
      </c>
      <c r="G27" s="192"/>
      <c r="H27" s="193"/>
      <c r="I27" s="194"/>
    </row>
    <row r="28" spans="1:9" ht="16.05" customHeight="1" thickBot="1">
      <c r="A28" s="32">
        <v>46630</v>
      </c>
      <c r="B28" s="185" t="s">
        <v>61</v>
      </c>
      <c r="C28" s="185"/>
      <c r="D28" s="50">
        <f t="shared" si="1"/>
        <v>7083333.3333333377</v>
      </c>
      <c r="E28" s="49">
        <f t="shared" si="0"/>
        <v>1591.7602996254691</v>
      </c>
      <c r="G28" s="195"/>
      <c r="H28" s="196"/>
      <c r="I28" s="197"/>
    </row>
    <row r="29" spans="1:9" ht="16.05" customHeight="1">
      <c r="A29" s="32">
        <v>46660</v>
      </c>
      <c r="B29" s="185" t="s">
        <v>62</v>
      </c>
      <c r="C29" s="185"/>
      <c r="D29" s="50">
        <f t="shared" si="1"/>
        <v>6611111.1111111157</v>
      </c>
      <c r="E29" s="49">
        <f t="shared" si="0"/>
        <v>1485.6429463171046</v>
      </c>
      <c r="G29" s="201" t="s">
        <v>14</v>
      </c>
      <c r="H29" s="203">
        <f>SUM(H32:H43)</f>
        <v>11232000</v>
      </c>
      <c r="I29" s="205">
        <f>SUM(I32:I43)</f>
        <v>2524.0449438202249</v>
      </c>
    </row>
    <row r="30" spans="1:9" ht="16.05" customHeight="1" thickBot="1">
      <c r="A30" s="32">
        <v>46691</v>
      </c>
      <c r="B30" s="185" t="s">
        <v>63</v>
      </c>
      <c r="C30" s="185"/>
      <c r="D30" s="50">
        <f t="shared" si="1"/>
        <v>6138888.8888888936</v>
      </c>
      <c r="E30" s="49">
        <f t="shared" si="0"/>
        <v>1379.5255930087401</v>
      </c>
      <c r="G30" s="202"/>
      <c r="H30" s="204"/>
      <c r="I30" s="206"/>
    </row>
    <row r="31" spans="1:9" ht="16.95" customHeight="1" thickBot="1">
      <c r="A31" s="32">
        <v>46721</v>
      </c>
      <c r="B31" s="185" t="s">
        <v>64</v>
      </c>
      <c r="C31" s="185"/>
      <c r="D31" s="50">
        <f t="shared" si="1"/>
        <v>5666666.6666666716</v>
      </c>
      <c r="E31" s="49">
        <f t="shared" si="0"/>
        <v>1273.4082397003756</v>
      </c>
      <c r="G31" s="198"/>
      <c r="H31" s="199"/>
      <c r="I31" s="200"/>
    </row>
    <row r="32" spans="1:9">
      <c r="A32" s="32">
        <v>46752</v>
      </c>
      <c r="B32" s="185" t="s">
        <v>65</v>
      </c>
      <c r="C32" s="185"/>
      <c r="D32" s="50">
        <f t="shared" si="1"/>
        <v>5194444.4444444496</v>
      </c>
      <c r="E32" s="49">
        <f t="shared" si="0"/>
        <v>1167.2908863920111</v>
      </c>
      <c r="F32" s="127"/>
      <c r="G32" s="52" t="s">
        <v>79</v>
      </c>
      <c r="H32" s="58">
        <f>39000*24</f>
        <v>936000</v>
      </c>
      <c r="I32" s="55">
        <f>H32/$B$1</f>
        <v>210.3370786516854</v>
      </c>
    </row>
    <row r="33" spans="1:9">
      <c r="A33" s="32">
        <v>46783</v>
      </c>
      <c r="B33" s="185" t="s">
        <v>66</v>
      </c>
      <c r="C33" s="185"/>
      <c r="D33" s="50">
        <f t="shared" si="1"/>
        <v>4722222.2222222276</v>
      </c>
      <c r="E33" s="49">
        <f t="shared" si="0"/>
        <v>1061.1735330836466</v>
      </c>
      <c r="F33" s="127"/>
      <c r="G33" s="53" t="s">
        <v>80</v>
      </c>
      <c r="H33" s="59">
        <f>$H$32</f>
        <v>936000</v>
      </c>
      <c r="I33" s="56">
        <f t="shared" ref="I33:I43" si="2">H33/$B$1</f>
        <v>210.3370786516854</v>
      </c>
    </row>
    <row r="34" spans="1:9">
      <c r="A34" s="32">
        <v>46812</v>
      </c>
      <c r="B34" s="185" t="s">
        <v>67</v>
      </c>
      <c r="C34" s="185"/>
      <c r="D34" s="50">
        <f t="shared" si="1"/>
        <v>4250000.0000000056</v>
      </c>
      <c r="E34" s="49">
        <f t="shared" si="0"/>
        <v>955.0561797752822</v>
      </c>
      <c r="G34" s="53" t="s">
        <v>81</v>
      </c>
      <c r="H34" s="59">
        <f t="shared" ref="H34:H43" si="3">$H$32</f>
        <v>936000</v>
      </c>
      <c r="I34" s="56">
        <f t="shared" si="2"/>
        <v>210.3370786516854</v>
      </c>
    </row>
    <row r="35" spans="1:9">
      <c r="A35" s="32">
        <v>46843</v>
      </c>
      <c r="B35" s="185" t="s">
        <v>68</v>
      </c>
      <c r="C35" s="185"/>
      <c r="D35" s="50">
        <f t="shared" si="1"/>
        <v>3777777.7777777836</v>
      </c>
      <c r="E35" s="49">
        <f t="shared" si="0"/>
        <v>848.9388264669177</v>
      </c>
      <c r="G35" s="53" t="s">
        <v>82</v>
      </c>
      <c r="H35" s="59">
        <f t="shared" si="3"/>
        <v>936000</v>
      </c>
      <c r="I35" s="56">
        <f t="shared" si="2"/>
        <v>210.3370786516854</v>
      </c>
    </row>
    <row r="36" spans="1:9">
      <c r="A36" s="32">
        <v>46873</v>
      </c>
      <c r="B36" s="185" t="s">
        <v>69</v>
      </c>
      <c r="C36" s="185"/>
      <c r="D36" s="50">
        <f t="shared" si="1"/>
        <v>3305555.5555555616</v>
      </c>
      <c r="E36" s="49">
        <f t="shared" si="0"/>
        <v>742.8214731585532</v>
      </c>
      <c r="G36" s="53" t="s">
        <v>83</v>
      </c>
      <c r="H36" s="59">
        <f t="shared" si="3"/>
        <v>936000</v>
      </c>
      <c r="I36" s="56">
        <f t="shared" si="2"/>
        <v>210.3370786516854</v>
      </c>
    </row>
    <row r="37" spans="1:9">
      <c r="A37" s="32">
        <v>46904</v>
      </c>
      <c r="B37" s="185" t="s">
        <v>70</v>
      </c>
      <c r="C37" s="185"/>
      <c r="D37" s="50">
        <f t="shared" si="1"/>
        <v>2833333.3333333395</v>
      </c>
      <c r="E37" s="49">
        <f t="shared" si="0"/>
        <v>636.7041198501887</v>
      </c>
      <c r="G37" s="53" t="s">
        <v>84</v>
      </c>
      <c r="H37" s="59">
        <f t="shared" si="3"/>
        <v>936000</v>
      </c>
      <c r="I37" s="56">
        <f t="shared" si="2"/>
        <v>210.3370786516854</v>
      </c>
    </row>
    <row r="38" spans="1:9">
      <c r="A38" s="32">
        <v>46934</v>
      </c>
      <c r="B38" s="185" t="s">
        <v>71</v>
      </c>
      <c r="C38" s="185"/>
      <c r="D38" s="50">
        <f t="shared" si="1"/>
        <v>2361111.1111111175</v>
      </c>
      <c r="E38" s="49">
        <f t="shared" si="0"/>
        <v>530.5867665418242</v>
      </c>
      <c r="G38" s="53" t="s">
        <v>85</v>
      </c>
      <c r="H38" s="59">
        <f t="shared" si="3"/>
        <v>936000</v>
      </c>
      <c r="I38" s="56">
        <f t="shared" si="2"/>
        <v>210.3370786516854</v>
      </c>
    </row>
    <row r="39" spans="1:9">
      <c r="A39" s="32">
        <v>46965</v>
      </c>
      <c r="B39" s="185" t="s">
        <v>72</v>
      </c>
      <c r="C39" s="185"/>
      <c r="D39" s="50">
        <f t="shared" si="1"/>
        <v>1888888.8888888953</v>
      </c>
      <c r="E39" s="49">
        <f t="shared" si="0"/>
        <v>424.46941323345959</v>
      </c>
      <c r="G39" s="53" t="s">
        <v>86</v>
      </c>
      <c r="H39" s="59">
        <f t="shared" si="3"/>
        <v>936000</v>
      </c>
      <c r="I39" s="56">
        <f t="shared" si="2"/>
        <v>210.3370786516854</v>
      </c>
    </row>
    <row r="40" spans="1:9">
      <c r="A40" s="32">
        <v>46996</v>
      </c>
      <c r="B40" s="185" t="s">
        <v>73</v>
      </c>
      <c r="C40" s="185"/>
      <c r="D40" s="50">
        <f t="shared" si="1"/>
        <v>1416666.666666673</v>
      </c>
      <c r="E40" s="49">
        <f t="shared" si="0"/>
        <v>318.35205992509509</v>
      </c>
      <c r="G40" s="53" t="s">
        <v>87</v>
      </c>
      <c r="H40" s="59">
        <f t="shared" si="3"/>
        <v>936000</v>
      </c>
      <c r="I40" s="56">
        <f t="shared" si="2"/>
        <v>210.3370786516854</v>
      </c>
    </row>
    <row r="41" spans="1:9">
      <c r="A41" s="32">
        <v>47026</v>
      </c>
      <c r="B41" s="185" t="s">
        <v>74</v>
      </c>
      <c r="C41" s="185"/>
      <c r="D41" s="50">
        <f t="shared" si="1"/>
        <v>944444.44444445078</v>
      </c>
      <c r="E41" s="49">
        <f t="shared" si="0"/>
        <v>212.23470661673051</v>
      </c>
      <c r="G41" s="53" t="s">
        <v>88</v>
      </c>
      <c r="H41" s="59">
        <f t="shared" si="3"/>
        <v>936000</v>
      </c>
      <c r="I41" s="56">
        <f t="shared" si="2"/>
        <v>210.3370786516854</v>
      </c>
    </row>
    <row r="42" spans="1:9">
      <c r="A42" s="32">
        <v>47057</v>
      </c>
      <c r="B42" s="185" t="s">
        <v>75</v>
      </c>
      <c r="C42" s="185"/>
      <c r="D42" s="50">
        <f t="shared" si="1"/>
        <v>472222.22222222853</v>
      </c>
      <c r="E42" s="49">
        <f t="shared" si="0"/>
        <v>106.11735330836596</v>
      </c>
      <c r="G42" s="53" t="s">
        <v>89</v>
      </c>
      <c r="H42" s="59">
        <f t="shared" si="3"/>
        <v>936000</v>
      </c>
      <c r="I42" s="56">
        <f t="shared" si="2"/>
        <v>210.3370786516854</v>
      </c>
    </row>
    <row r="43" spans="1:9" ht="16.2" thickBot="1">
      <c r="A43" s="32">
        <v>47087</v>
      </c>
      <c r="B43" s="185" t="s">
        <v>76</v>
      </c>
      <c r="C43" s="185"/>
      <c r="D43" s="50">
        <f t="shared" si="1"/>
        <v>6.28642737865448E-9</v>
      </c>
      <c r="E43" s="49">
        <f t="shared" si="0"/>
        <v>1.4126803098099955E-12</v>
      </c>
      <c r="G43" s="54" t="s">
        <v>90</v>
      </c>
      <c r="H43" s="60">
        <f t="shared" si="3"/>
        <v>936000</v>
      </c>
      <c r="I43" s="57">
        <f t="shared" si="2"/>
        <v>210.3370786516854</v>
      </c>
    </row>
  </sheetData>
  <mergeCells count="46">
    <mergeCell ref="G4:I28"/>
    <mergeCell ref="G31:I31"/>
    <mergeCell ref="G29:G30"/>
    <mergeCell ref="H29:H30"/>
    <mergeCell ref="I29:I30"/>
    <mergeCell ref="B43:C43"/>
    <mergeCell ref="B37:C37"/>
    <mergeCell ref="B38:C38"/>
    <mergeCell ref="B39:C39"/>
    <mergeCell ref="B40:C40"/>
    <mergeCell ref="B41:C41"/>
    <mergeCell ref="B42:C42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D1:E1"/>
    <mergeCell ref="B8:C8"/>
    <mergeCell ref="B9:C9"/>
    <mergeCell ref="B10:C10"/>
    <mergeCell ref="B11:C11"/>
    <mergeCell ref="B12:C12"/>
    <mergeCell ref="A5:C5"/>
    <mergeCell ref="A6:C6"/>
    <mergeCell ref="A2:C2"/>
    <mergeCell ref="A3:C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22AF-AEBE-AF44-B7D7-5C43EAC38B21}">
  <sheetPr>
    <tabColor rgb="FF0432FF"/>
  </sheetPr>
  <dimension ref="A1:V49"/>
  <sheetViews>
    <sheetView workbookViewId="0">
      <pane xSplit="3" ySplit="12" topLeftCell="K31" activePane="bottomRight" state="frozen"/>
      <selection pane="topRight" activeCell="D1" sqref="D1"/>
      <selection pane="bottomLeft" activeCell="A13" sqref="A13"/>
      <selection pane="bottomRight" activeCell="P10" sqref="P10:T38"/>
    </sheetView>
  </sheetViews>
  <sheetFormatPr baseColWidth="10" defaultColWidth="10.796875" defaultRowHeight="15.6"/>
  <cols>
    <col min="1" max="1" width="17.19921875" style="22" bestFit="1" customWidth="1"/>
    <col min="2" max="2" width="4.69921875" style="8" customWidth="1"/>
    <col min="3" max="3" width="11.69921875" style="8" customWidth="1"/>
    <col min="4" max="4" width="16.296875" style="8" customWidth="1"/>
    <col min="5" max="5" width="12.19921875" style="8" bestFit="1" customWidth="1"/>
    <col min="6" max="6" width="12.19921875" style="8" customWidth="1"/>
    <col min="7" max="7" width="11.69921875" style="8" customWidth="1"/>
    <col min="8" max="8" width="13.796875" style="8" customWidth="1"/>
    <col min="9" max="9" width="13.69921875" style="8" bestFit="1" customWidth="1"/>
    <col min="10" max="10" width="16.296875" style="8" bestFit="1" customWidth="1"/>
    <col min="11" max="11" width="11.69921875" style="8" bestFit="1" customWidth="1"/>
    <col min="12" max="12" width="11.69921875" style="43" bestFit="1" customWidth="1"/>
    <col min="13" max="13" width="14.19921875" style="8" bestFit="1" customWidth="1"/>
    <col min="14" max="14" width="12.19921875" style="43" bestFit="1" customWidth="1"/>
    <col min="15" max="15" width="15.19921875" style="8" bestFit="1" customWidth="1"/>
    <col min="16" max="16" width="17.19921875" style="8" bestFit="1" customWidth="1"/>
    <col min="17" max="17" width="13.69921875" style="8" bestFit="1" customWidth="1"/>
    <col min="18" max="18" width="13.296875" style="8" bestFit="1" customWidth="1"/>
    <col min="19" max="19" width="10.796875" style="8"/>
    <col min="20" max="20" width="11.5" style="8" bestFit="1" customWidth="1"/>
    <col min="21" max="16384" width="10.796875" style="8"/>
  </cols>
  <sheetData>
    <row r="1" spans="1:22">
      <c r="B1" s="28" t="s">
        <v>25</v>
      </c>
      <c r="C1" s="27">
        <v>4450</v>
      </c>
      <c r="D1" s="144" t="s">
        <v>27</v>
      </c>
      <c r="E1" s="145"/>
      <c r="F1" s="124">
        <v>10</v>
      </c>
      <c r="G1" s="147" t="s">
        <v>38</v>
      </c>
      <c r="H1" s="147"/>
      <c r="I1" s="147"/>
      <c r="J1" s="148"/>
      <c r="K1" s="43"/>
      <c r="L1" s="152" t="s">
        <v>29</v>
      </c>
      <c r="M1" s="152"/>
      <c r="N1" s="152"/>
      <c r="O1" s="152"/>
      <c r="P1" s="152"/>
    </row>
    <row r="2" spans="1:22">
      <c r="A2" s="155"/>
      <c r="B2" s="155"/>
      <c r="C2" s="156"/>
      <c r="D2" s="47" t="s">
        <v>7</v>
      </c>
      <c r="E2" s="48" t="s">
        <v>8</v>
      </c>
      <c r="G2" s="154" t="s">
        <v>19</v>
      </c>
      <c r="H2" s="154"/>
      <c r="I2" s="29">
        <f>5000*30</f>
        <v>150000</v>
      </c>
      <c r="J2" s="30">
        <f>I2/$C$1</f>
        <v>33.707865168539328</v>
      </c>
      <c r="K2" s="43"/>
      <c r="L2" s="151" t="s">
        <v>1</v>
      </c>
      <c r="M2" s="151"/>
      <c r="N2" s="151"/>
      <c r="O2" s="25" t="s">
        <v>7</v>
      </c>
      <c r="P2" s="26" t="s">
        <v>8</v>
      </c>
    </row>
    <row r="3" spans="1:22">
      <c r="A3" s="153" t="s">
        <v>0</v>
      </c>
      <c r="B3" s="153"/>
      <c r="C3" s="153"/>
      <c r="D3" s="11">
        <v>17000000</v>
      </c>
      <c r="E3" s="9">
        <f>D3/$C$1</f>
        <v>3820.2247191011238</v>
      </c>
      <c r="F3" s="12"/>
      <c r="G3" s="154" t="s">
        <v>28</v>
      </c>
      <c r="H3" s="154"/>
      <c r="I3" s="29">
        <v>100000</v>
      </c>
      <c r="J3" s="30">
        <f>I3/$C$1</f>
        <v>22.471910112359552</v>
      </c>
      <c r="K3" s="43"/>
      <c r="L3" s="150" t="s">
        <v>16</v>
      </c>
      <c r="M3" s="150"/>
      <c r="N3" s="150"/>
      <c r="O3" s="3">
        <v>200000</v>
      </c>
      <c r="P3" s="4">
        <f t="shared" ref="P3:P7" si="0">O3/$C$1</f>
        <v>44.943820224719104</v>
      </c>
    </row>
    <row r="4" spans="1:22">
      <c r="A4" s="153" t="s">
        <v>114</v>
      </c>
      <c r="B4" s="153"/>
      <c r="C4" s="153"/>
      <c r="D4" s="11">
        <v>66000</v>
      </c>
      <c r="E4" s="9">
        <f>D4/$C$1</f>
        <v>14.831460674157304</v>
      </c>
      <c r="G4" s="154" t="s">
        <v>35</v>
      </c>
      <c r="H4" s="154"/>
      <c r="I4" s="29">
        <v>65000</v>
      </c>
      <c r="J4" s="30">
        <f>I4/$C$1</f>
        <v>14.606741573033707</v>
      </c>
      <c r="K4" s="43"/>
      <c r="L4" s="150" t="s">
        <v>17</v>
      </c>
      <c r="M4" s="150"/>
      <c r="N4" s="150"/>
      <c r="O4" s="3">
        <f>54000*3</f>
        <v>162000</v>
      </c>
      <c r="P4" s="4">
        <f t="shared" si="0"/>
        <v>36.40449438202247</v>
      </c>
    </row>
    <row r="5" spans="1:22">
      <c r="A5" s="153" t="s">
        <v>115</v>
      </c>
      <c r="B5" s="153"/>
      <c r="C5" s="153"/>
      <c r="D5" s="11">
        <v>50000</v>
      </c>
      <c r="E5" s="9">
        <f>D5/$C$1</f>
        <v>11.235955056179776</v>
      </c>
      <c r="G5" s="154" t="s">
        <v>39</v>
      </c>
      <c r="H5" s="154"/>
      <c r="I5" s="29">
        <f>(D4*5%)*26</f>
        <v>85800</v>
      </c>
      <c r="J5" s="30">
        <f>I5/$C$1</f>
        <v>19.280898876404493</v>
      </c>
      <c r="K5" s="43"/>
      <c r="L5" s="150" t="s">
        <v>18</v>
      </c>
      <c r="M5" s="150"/>
      <c r="N5" s="150"/>
      <c r="O5" s="3">
        <v>100000</v>
      </c>
      <c r="P5" s="4">
        <f t="shared" si="0"/>
        <v>22.471910112359552</v>
      </c>
    </row>
    <row r="6" spans="1:22">
      <c r="A6" s="153" t="s">
        <v>118</v>
      </c>
      <c r="B6" s="153"/>
      <c r="C6" s="153"/>
      <c r="D6" s="11">
        <f>(D4*26)</f>
        <v>1716000</v>
      </c>
      <c r="E6" s="9">
        <f>D6/$C$1</f>
        <v>385.61797752808991</v>
      </c>
      <c r="G6" s="146" t="s">
        <v>77</v>
      </c>
      <c r="H6" s="146"/>
      <c r="I6" s="19">
        <f>SUM(I1:I5)</f>
        <v>400800</v>
      </c>
      <c r="J6" s="16">
        <f>I6/$C$1</f>
        <v>90.067415730337075</v>
      </c>
      <c r="K6" s="43"/>
      <c r="L6" s="150" t="s">
        <v>3</v>
      </c>
      <c r="M6" s="150"/>
      <c r="N6" s="150"/>
      <c r="O6" s="3">
        <v>300000</v>
      </c>
      <c r="P6" s="4">
        <f t="shared" si="0"/>
        <v>67.415730337078656</v>
      </c>
    </row>
    <row r="7" spans="1:22" s="14" customFormat="1" ht="16.05" customHeight="1">
      <c r="A7" s="153" t="s">
        <v>117</v>
      </c>
      <c r="B7" s="153"/>
      <c r="C7" s="153"/>
      <c r="D7" s="11">
        <f>(D4*26)+(D5*4)</f>
        <v>1916000</v>
      </c>
      <c r="E7" s="9">
        <f>D7/$C$1</f>
        <v>430.56179775280901</v>
      </c>
      <c r="F7" s="100">
        <f>E3*10</f>
        <v>38202.247191011236</v>
      </c>
      <c r="K7" s="44"/>
      <c r="L7" s="150" t="s">
        <v>164</v>
      </c>
      <c r="M7" s="150"/>
      <c r="N7" s="150"/>
      <c r="O7" s="3">
        <v>500000</v>
      </c>
      <c r="P7" s="4">
        <f t="shared" si="0"/>
        <v>112.35955056179775</v>
      </c>
    </row>
    <row r="8" spans="1:22" s="14" customFormat="1" ht="16.05" customHeight="1">
      <c r="A8" s="23"/>
      <c r="F8" s="100">
        <f>SUM(F15:F20)</f>
        <v>38200</v>
      </c>
      <c r="G8" s="149" t="s">
        <v>161</v>
      </c>
      <c r="H8" s="149"/>
      <c r="I8" s="149"/>
      <c r="J8" s="18">
        <f>('Crédit Banque'!B7)/7</f>
        <v>1505952.3809523808</v>
      </c>
      <c r="K8" s="10">
        <f>J8/$C$1</f>
        <v>338.41626538255747</v>
      </c>
      <c r="L8" s="168" t="s">
        <v>26</v>
      </c>
      <c r="M8" s="169"/>
      <c r="N8" s="170"/>
      <c r="O8" s="19">
        <f>SUM(O3:O7)</f>
        <v>1262000</v>
      </c>
      <c r="P8" s="16">
        <f>SUM(P3:P7)</f>
        <v>283.59550561797755</v>
      </c>
      <c r="Q8" s="8"/>
    </row>
    <row r="9" spans="1:22" s="14" customFormat="1" ht="16.2" thickBot="1">
      <c r="A9" s="23"/>
      <c r="F9" s="100">
        <f>F8-F7</f>
        <v>-2.2471910112362821</v>
      </c>
      <c r="L9" s="44"/>
      <c r="N9" s="44"/>
      <c r="S9" s="8"/>
    </row>
    <row r="10" spans="1:22" s="14" customFormat="1" ht="16.05" customHeight="1" thickBot="1">
      <c r="A10" s="178" t="s">
        <v>36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80"/>
      <c r="P10" s="161" t="s">
        <v>37</v>
      </c>
      <c r="Q10" s="162"/>
      <c r="R10" s="162"/>
      <c r="S10" s="162"/>
      <c r="T10" s="163"/>
    </row>
    <row r="11" spans="1:22" ht="28.05" customHeight="1">
      <c r="A11" s="157" t="s">
        <v>32</v>
      </c>
      <c r="B11" s="181" t="s">
        <v>91</v>
      </c>
      <c r="C11" s="183" t="s">
        <v>34</v>
      </c>
      <c r="D11" s="171" t="s">
        <v>13</v>
      </c>
      <c r="E11" s="171"/>
      <c r="F11" s="171"/>
      <c r="G11" s="171"/>
      <c r="H11" s="171"/>
      <c r="I11" s="171"/>
      <c r="J11" s="171"/>
      <c r="K11" s="171"/>
      <c r="L11" s="172" t="s">
        <v>116</v>
      </c>
      <c r="M11" s="174" t="s">
        <v>20</v>
      </c>
      <c r="N11" s="176" t="s">
        <v>93</v>
      </c>
      <c r="O11" s="167"/>
      <c r="P11" s="157" t="s">
        <v>32</v>
      </c>
      <c r="Q11" s="159" t="s">
        <v>21</v>
      </c>
      <c r="R11" s="164" t="s">
        <v>22</v>
      </c>
      <c r="S11" s="164" t="s">
        <v>23</v>
      </c>
      <c r="T11" s="165" t="s">
        <v>24</v>
      </c>
      <c r="V11" s="17"/>
    </row>
    <row r="12" spans="1:22" ht="62.4">
      <c r="A12" s="158"/>
      <c r="B12" s="182"/>
      <c r="C12" s="184"/>
      <c r="D12" s="13" t="s">
        <v>31</v>
      </c>
      <c r="E12" s="13" t="str">
        <f>G2</f>
        <v>Parking &amp; Charge</v>
      </c>
      <c r="F12" s="13" t="s">
        <v>165</v>
      </c>
      <c r="G12" s="13" t="str">
        <f>G3</f>
        <v xml:space="preserve">Forfait garage </v>
      </c>
      <c r="H12" s="13" t="s">
        <v>33</v>
      </c>
      <c r="I12" s="13" t="str">
        <f>G5</f>
        <v>Prime gérant (5% recette)</v>
      </c>
      <c r="J12" s="31" t="str">
        <f>L1</f>
        <v>CHARGES ANNUELLES</v>
      </c>
      <c r="K12" s="38" t="s">
        <v>30</v>
      </c>
      <c r="L12" s="173"/>
      <c r="M12" s="175"/>
      <c r="N12" s="177"/>
      <c r="O12" s="167"/>
      <c r="P12" s="158"/>
      <c r="Q12" s="160"/>
      <c r="R12" s="159"/>
      <c r="S12" s="159"/>
      <c r="T12" s="166"/>
      <c r="V12" s="17"/>
    </row>
    <row r="13" spans="1:22">
      <c r="A13" s="32">
        <v>46053</v>
      </c>
      <c r="B13" s="42">
        <v>7</v>
      </c>
      <c r="C13" s="41">
        <f>$E$7*B13</f>
        <v>3013.932584269663</v>
      </c>
      <c r="D13" s="15">
        <f>$K$8*7</f>
        <v>2368.9138576779023</v>
      </c>
      <c r="E13" s="15">
        <f t="shared" ref="E13:E49" si="1">$J$2*B13</f>
        <v>235.95505617977528</v>
      </c>
      <c r="F13" s="15"/>
      <c r="G13" s="15"/>
      <c r="H13" s="15"/>
      <c r="I13" s="15">
        <v>100</v>
      </c>
      <c r="J13" s="15">
        <f>$P$8*B13</f>
        <v>1985.1685393258429</v>
      </c>
      <c r="K13" s="39">
        <f>SUM(D13:J13)</f>
        <v>4690.0374531835205</v>
      </c>
      <c r="L13" s="45">
        <f t="shared" ref="L13:L49" si="2">C13-K13</f>
        <v>-1676.1048689138574</v>
      </c>
      <c r="M13" s="51">
        <v>4000</v>
      </c>
      <c r="N13" s="102">
        <f>M13+L13</f>
        <v>2323.8951310861426</v>
      </c>
      <c r="O13" s="20"/>
      <c r="P13" s="32">
        <v>46053</v>
      </c>
      <c r="Q13" s="21"/>
      <c r="R13" s="15">
        <f t="shared" ref="R13:S30" si="3">($E$3*50%)</f>
        <v>1910.1123595505619</v>
      </c>
      <c r="S13" s="15">
        <f t="shared" si="3"/>
        <v>1910.1123595505619</v>
      </c>
      <c r="T13" s="36">
        <f>(R13+S13)*Q13</f>
        <v>0</v>
      </c>
      <c r="V13" s="17"/>
    </row>
    <row r="14" spans="1:22">
      <c r="A14" s="32">
        <v>46081</v>
      </c>
      <c r="B14" s="42">
        <f>B13+Q13</f>
        <v>7</v>
      </c>
      <c r="C14" s="41">
        <f t="shared" ref="C14:C20" si="4">$E$7*B14</f>
        <v>3013.932584269663</v>
      </c>
      <c r="D14" s="15">
        <f t="shared" ref="D14:D24" si="5">$K$8*7</f>
        <v>2368.9138576779023</v>
      </c>
      <c r="E14" s="15">
        <f t="shared" si="1"/>
        <v>235.95505617977528</v>
      </c>
      <c r="F14" s="15"/>
      <c r="G14" s="15"/>
      <c r="H14" s="15"/>
      <c r="I14" s="15">
        <v>100</v>
      </c>
      <c r="J14" s="15">
        <f>$P$8*(B14-B13)</f>
        <v>0</v>
      </c>
      <c r="K14" s="39">
        <f t="shared" ref="K14:K24" si="6">SUM(D14:J14)</f>
        <v>2704.8689138576774</v>
      </c>
      <c r="L14" s="45">
        <f t="shared" si="2"/>
        <v>309.06367041198564</v>
      </c>
      <c r="M14" s="51">
        <v>4000</v>
      </c>
      <c r="N14" s="102">
        <f>M14+L14+N13-T13</f>
        <v>6632.9588014981291</v>
      </c>
      <c r="O14" s="20"/>
      <c r="P14" s="32">
        <v>46081</v>
      </c>
      <c r="Q14" s="21"/>
      <c r="R14" s="15">
        <f t="shared" si="3"/>
        <v>1910.1123595505619</v>
      </c>
      <c r="S14" s="15">
        <f t="shared" si="3"/>
        <v>1910.1123595505619</v>
      </c>
      <c r="T14" s="36">
        <f t="shared" ref="T14:T38" si="7">(R14+S14)*Q14</f>
        <v>0</v>
      </c>
      <c r="V14" s="17"/>
    </row>
    <row r="15" spans="1:22">
      <c r="A15" s="32">
        <v>46112</v>
      </c>
      <c r="B15" s="42">
        <v>17</v>
      </c>
      <c r="C15" s="41">
        <f t="shared" si="4"/>
        <v>7319.5505617977533</v>
      </c>
      <c r="D15" s="15">
        <f t="shared" si="5"/>
        <v>2368.9138576779023</v>
      </c>
      <c r="E15" s="15">
        <f t="shared" si="1"/>
        <v>573.03370786516859</v>
      </c>
      <c r="F15" s="126">
        <v>12000</v>
      </c>
      <c r="G15" s="15"/>
      <c r="H15" s="15"/>
      <c r="I15" s="15">
        <v>150</v>
      </c>
      <c r="J15" s="15">
        <f t="shared" ref="J15:J49" si="8">$P$8*(B15-B14)</f>
        <v>2835.9550561797755</v>
      </c>
      <c r="K15" s="39">
        <f t="shared" si="6"/>
        <v>17927.902621722846</v>
      </c>
      <c r="L15" s="45">
        <f t="shared" si="2"/>
        <v>-10608.352059925091</v>
      </c>
      <c r="M15" s="51">
        <v>4000</v>
      </c>
      <c r="N15" s="102">
        <f t="shared" ref="N15:N38" si="9">M15+L15+N14-T14</f>
        <v>24.606741573037652</v>
      </c>
      <c r="O15" s="20"/>
      <c r="P15" s="32">
        <v>46112</v>
      </c>
      <c r="Q15" s="21"/>
      <c r="R15" s="15">
        <f t="shared" si="3"/>
        <v>1910.1123595505619</v>
      </c>
      <c r="S15" s="15">
        <f t="shared" si="3"/>
        <v>1910.1123595505619</v>
      </c>
      <c r="T15" s="36">
        <f t="shared" si="7"/>
        <v>0</v>
      </c>
      <c r="V15" s="17"/>
    </row>
    <row r="16" spans="1:22">
      <c r="A16" s="32">
        <v>46142</v>
      </c>
      <c r="B16" s="42">
        <f t="shared" ref="B16:B38" si="10">B15+Q15</f>
        <v>17</v>
      </c>
      <c r="C16" s="41">
        <f t="shared" si="4"/>
        <v>7319.5505617977533</v>
      </c>
      <c r="D16" s="15">
        <f t="shared" si="5"/>
        <v>2368.9138576779023</v>
      </c>
      <c r="E16" s="15">
        <f t="shared" si="1"/>
        <v>573.03370786516859</v>
      </c>
      <c r="F16" s="126">
        <v>6550</v>
      </c>
      <c r="G16" s="15"/>
      <c r="H16" s="15"/>
      <c r="I16" s="15">
        <v>150</v>
      </c>
      <c r="J16" s="15">
        <f t="shared" si="8"/>
        <v>0</v>
      </c>
      <c r="K16" s="39">
        <f t="shared" si="6"/>
        <v>9641.9475655430706</v>
      </c>
      <c r="L16" s="45">
        <f t="shared" si="2"/>
        <v>-2322.3970037453173</v>
      </c>
      <c r="M16" s="51">
        <v>2500</v>
      </c>
      <c r="N16" s="102">
        <f t="shared" si="9"/>
        <v>202.20973782772035</v>
      </c>
      <c r="O16" s="20"/>
      <c r="P16" s="32">
        <v>46142</v>
      </c>
      <c r="Q16" s="21"/>
      <c r="R16" s="15">
        <f t="shared" si="3"/>
        <v>1910.1123595505619</v>
      </c>
      <c r="S16" s="15">
        <f t="shared" si="3"/>
        <v>1910.1123595505619</v>
      </c>
      <c r="T16" s="36">
        <f t="shared" si="7"/>
        <v>0</v>
      </c>
      <c r="V16" s="17"/>
    </row>
    <row r="17" spans="1:22">
      <c r="A17" s="32">
        <v>46173</v>
      </c>
      <c r="B17" s="42">
        <f t="shared" si="10"/>
        <v>17</v>
      </c>
      <c r="C17" s="41">
        <f t="shared" si="4"/>
        <v>7319.5505617977533</v>
      </c>
      <c r="D17" s="15">
        <f t="shared" si="5"/>
        <v>2368.9138576779023</v>
      </c>
      <c r="E17" s="15">
        <f t="shared" si="1"/>
        <v>573.03370786516859</v>
      </c>
      <c r="F17" s="126">
        <f>F16</f>
        <v>6550</v>
      </c>
      <c r="G17" s="15"/>
      <c r="H17" s="15"/>
      <c r="I17" s="15">
        <v>150</v>
      </c>
      <c r="J17" s="15">
        <f t="shared" si="8"/>
        <v>0</v>
      </c>
      <c r="K17" s="39">
        <f t="shared" si="6"/>
        <v>9641.9475655430706</v>
      </c>
      <c r="L17" s="45">
        <f t="shared" si="2"/>
        <v>-2322.3970037453173</v>
      </c>
      <c r="M17" s="51">
        <v>2500</v>
      </c>
      <c r="N17" s="102">
        <f t="shared" si="9"/>
        <v>379.81273408240304</v>
      </c>
      <c r="O17" s="20"/>
      <c r="P17" s="32">
        <v>46173</v>
      </c>
      <c r="Q17" s="21"/>
      <c r="R17" s="15">
        <f t="shared" si="3"/>
        <v>1910.1123595505619</v>
      </c>
      <c r="S17" s="15">
        <f t="shared" si="3"/>
        <v>1910.1123595505619</v>
      </c>
      <c r="T17" s="36">
        <f t="shared" si="7"/>
        <v>0</v>
      </c>
      <c r="V17" s="17"/>
    </row>
    <row r="18" spans="1:22">
      <c r="A18" s="32">
        <v>46203</v>
      </c>
      <c r="B18" s="42">
        <f t="shared" si="10"/>
        <v>17</v>
      </c>
      <c r="C18" s="41">
        <f t="shared" si="4"/>
        <v>7319.5505617977533</v>
      </c>
      <c r="D18" s="15">
        <f t="shared" si="5"/>
        <v>2368.9138576779023</v>
      </c>
      <c r="E18" s="15">
        <f t="shared" si="1"/>
        <v>573.03370786516859</v>
      </c>
      <c r="F18" s="126">
        <f>F17</f>
        <v>6550</v>
      </c>
      <c r="G18" s="15"/>
      <c r="H18" s="15"/>
      <c r="I18" s="15">
        <v>150</v>
      </c>
      <c r="J18" s="15">
        <f t="shared" si="8"/>
        <v>0</v>
      </c>
      <c r="K18" s="39">
        <f t="shared" si="6"/>
        <v>9641.9475655430706</v>
      </c>
      <c r="L18" s="45">
        <f t="shared" si="2"/>
        <v>-2322.3970037453173</v>
      </c>
      <c r="M18" s="51">
        <v>2500</v>
      </c>
      <c r="N18" s="102">
        <f t="shared" si="9"/>
        <v>557.41573033708573</v>
      </c>
      <c r="O18" s="20"/>
      <c r="P18" s="32">
        <v>46203</v>
      </c>
      <c r="Q18" s="21"/>
      <c r="R18" s="15">
        <f t="shared" si="3"/>
        <v>1910.1123595505619</v>
      </c>
      <c r="S18" s="15">
        <f t="shared" si="3"/>
        <v>1910.1123595505619</v>
      </c>
      <c r="T18" s="36">
        <f t="shared" si="7"/>
        <v>0</v>
      </c>
      <c r="V18" s="17"/>
    </row>
    <row r="19" spans="1:22">
      <c r="A19" s="32">
        <v>46234</v>
      </c>
      <c r="B19" s="42">
        <f t="shared" si="10"/>
        <v>17</v>
      </c>
      <c r="C19" s="41">
        <f t="shared" si="4"/>
        <v>7319.5505617977533</v>
      </c>
      <c r="D19" s="15">
        <f t="shared" si="5"/>
        <v>2368.9138576779023</v>
      </c>
      <c r="E19" s="15">
        <f t="shared" si="1"/>
        <v>573.03370786516859</v>
      </c>
      <c r="F19" s="126">
        <f>F18</f>
        <v>6550</v>
      </c>
      <c r="G19" s="15"/>
      <c r="H19" s="15"/>
      <c r="I19" s="15">
        <v>150</v>
      </c>
      <c r="J19" s="15">
        <f t="shared" si="8"/>
        <v>0</v>
      </c>
      <c r="K19" s="39">
        <f t="shared" si="6"/>
        <v>9641.9475655430706</v>
      </c>
      <c r="L19" s="45">
        <f t="shared" si="2"/>
        <v>-2322.3970037453173</v>
      </c>
      <c r="M19" s="51">
        <v>2500</v>
      </c>
      <c r="N19" s="102">
        <f t="shared" si="9"/>
        <v>735.01872659176843</v>
      </c>
      <c r="O19" s="20"/>
      <c r="P19" s="32">
        <v>46234</v>
      </c>
      <c r="Q19" s="21"/>
      <c r="R19" s="15">
        <f t="shared" si="3"/>
        <v>1910.1123595505619</v>
      </c>
      <c r="S19" s="15">
        <f t="shared" si="3"/>
        <v>1910.1123595505619</v>
      </c>
      <c r="T19" s="36">
        <f t="shared" si="7"/>
        <v>0</v>
      </c>
      <c r="V19" s="17"/>
    </row>
    <row r="20" spans="1:22">
      <c r="A20" s="32">
        <v>46265</v>
      </c>
      <c r="B20" s="42">
        <f t="shared" si="10"/>
        <v>17</v>
      </c>
      <c r="C20" s="41">
        <f t="shared" si="4"/>
        <v>7319.5505617977533</v>
      </c>
      <c r="D20" s="15">
        <f t="shared" si="5"/>
        <v>2368.9138576779023</v>
      </c>
      <c r="E20" s="15">
        <f t="shared" si="1"/>
        <v>573.03370786516859</v>
      </c>
      <c r="F20" s="15"/>
      <c r="G20" s="15"/>
      <c r="H20" s="15"/>
      <c r="I20" s="15">
        <v>150</v>
      </c>
      <c r="J20" s="15">
        <f t="shared" si="8"/>
        <v>0</v>
      </c>
      <c r="K20" s="39">
        <f t="shared" si="6"/>
        <v>3091.9475655430711</v>
      </c>
      <c r="L20" s="45">
        <f t="shared" si="2"/>
        <v>4227.6029962546818</v>
      </c>
      <c r="M20" s="51">
        <v>2500</v>
      </c>
      <c r="N20" s="102">
        <f t="shared" si="9"/>
        <v>7462.6217228464502</v>
      </c>
      <c r="O20" s="20"/>
      <c r="P20" s="32">
        <v>46265</v>
      </c>
      <c r="Q20" s="21"/>
      <c r="R20" s="15">
        <f t="shared" si="3"/>
        <v>1910.1123595505619</v>
      </c>
      <c r="S20" s="15">
        <f t="shared" si="3"/>
        <v>1910.1123595505619</v>
      </c>
      <c r="T20" s="36">
        <f t="shared" si="7"/>
        <v>0</v>
      </c>
      <c r="V20" s="17"/>
    </row>
    <row r="21" spans="1:22">
      <c r="A21" s="32">
        <v>46295</v>
      </c>
      <c r="B21" s="42">
        <f t="shared" si="10"/>
        <v>17</v>
      </c>
      <c r="C21" s="41">
        <f t="shared" ref="C21:C49" si="11">$E$6*B21</f>
        <v>6555.5056179775283</v>
      </c>
      <c r="D21" s="15">
        <f t="shared" si="5"/>
        <v>2368.9138576779023</v>
      </c>
      <c r="E21" s="15">
        <f t="shared" si="1"/>
        <v>573.03370786516859</v>
      </c>
      <c r="F21" s="15"/>
      <c r="G21" s="15">
        <f t="shared" ref="G21:G49" si="12">$J$3*B21</f>
        <v>382.02247191011236</v>
      </c>
      <c r="H21" s="15">
        <f t="shared" ref="H21:H49" si="13">$J$4*B21</f>
        <v>248.31460674157302</v>
      </c>
      <c r="I21" s="15">
        <f t="shared" ref="I21:I49" si="14">$J$5*B21</f>
        <v>327.77528089887636</v>
      </c>
      <c r="J21" s="15">
        <f t="shared" si="8"/>
        <v>0</v>
      </c>
      <c r="K21" s="39">
        <f t="shared" si="6"/>
        <v>3900.059925093633</v>
      </c>
      <c r="L21" s="45">
        <f t="shared" si="2"/>
        <v>2655.4456928838954</v>
      </c>
      <c r="M21" s="51">
        <v>2500</v>
      </c>
      <c r="N21" s="102">
        <f t="shared" si="9"/>
        <v>12618.067415730346</v>
      </c>
      <c r="O21" s="20"/>
      <c r="P21" s="32">
        <v>46295</v>
      </c>
      <c r="Q21" s="21">
        <v>4</v>
      </c>
      <c r="R21" s="15">
        <f t="shared" si="3"/>
        <v>1910.1123595505619</v>
      </c>
      <c r="S21" s="15">
        <f t="shared" si="3"/>
        <v>1910.1123595505619</v>
      </c>
      <c r="T21" s="36">
        <f t="shared" si="7"/>
        <v>15280.898876404495</v>
      </c>
      <c r="V21" s="17"/>
    </row>
    <row r="22" spans="1:22">
      <c r="A22" s="32">
        <v>46326</v>
      </c>
      <c r="B22" s="42">
        <f t="shared" si="10"/>
        <v>21</v>
      </c>
      <c r="C22" s="41">
        <f t="shared" si="11"/>
        <v>8097.9775280898884</v>
      </c>
      <c r="D22" s="15">
        <f t="shared" si="5"/>
        <v>2368.9138576779023</v>
      </c>
      <c r="E22" s="15">
        <f t="shared" si="1"/>
        <v>707.86516853932585</v>
      </c>
      <c r="F22" s="15"/>
      <c r="G22" s="15">
        <f t="shared" si="12"/>
        <v>471.91011235955057</v>
      </c>
      <c r="H22" s="15">
        <f t="shared" si="13"/>
        <v>306.74157303370782</v>
      </c>
      <c r="I22" s="15">
        <f t="shared" si="14"/>
        <v>404.89887640449433</v>
      </c>
      <c r="J22" s="15">
        <f t="shared" si="8"/>
        <v>1134.3820224719102</v>
      </c>
      <c r="K22" s="39">
        <f t="shared" si="6"/>
        <v>5394.7116104868919</v>
      </c>
      <c r="L22" s="45">
        <f t="shared" si="2"/>
        <v>2703.2659176029965</v>
      </c>
      <c r="M22" s="51">
        <v>2500</v>
      </c>
      <c r="N22" s="102">
        <f t="shared" si="9"/>
        <v>2540.4344569288478</v>
      </c>
      <c r="O22" s="20"/>
      <c r="P22" s="32">
        <v>46326</v>
      </c>
      <c r="Q22" s="21"/>
      <c r="R22" s="15">
        <f t="shared" si="3"/>
        <v>1910.1123595505619</v>
      </c>
      <c r="S22" s="15">
        <f t="shared" si="3"/>
        <v>1910.1123595505619</v>
      </c>
      <c r="T22" s="36">
        <f t="shared" si="7"/>
        <v>0</v>
      </c>
      <c r="V22" s="17"/>
    </row>
    <row r="23" spans="1:22">
      <c r="A23" s="32">
        <v>46356</v>
      </c>
      <c r="B23" s="42">
        <f t="shared" si="10"/>
        <v>21</v>
      </c>
      <c r="C23" s="41">
        <f t="shared" si="11"/>
        <v>8097.9775280898884</v>
      </c>
      <c r="D23" s="15">
        <f t="shared" si="5"/>
        <v>2368.9138576779023</v>
      </c>
      <c r="E23" s="15">
        <f t="shared" si="1"/>
        <v>707.86516853932585</v>
      </c>
      <c r="F23" s="15"/>
      <c r="G23" s="15">
        <f t="shared" si="12"/>
        <v>471.91011235955057</v>
      </c>
      <c r="H23" s="15">
        <f t="shared" si="13"/>
        <v>306.74157303370782</v>
      </c>
      <c r="I23" s="15">
        <f t="shared" si="14"/>
        <v>404.89887640449433</v>
      </c>
      <c r="J23" s="15">
        <f t="shared" si="8"/>
        <v>0</v>
      </c>
      <c r="K23" s="39">
        <f t="shared" si="6"/>
        <v>4260.3295880149817</v>
      </c>
      <c r="L23" s="45">
        <f t="shared" si="2"/>
        <v>3837.6479400749067</v>
      </c>
      <c r="M23" s="51">
        <v>2500</v>
      </c>
      <c r="N23" s="102">
        <f t="shared" si="9"/>
        <v>8878.0823970037545</v>
      </c>
      <c r="O23" s="20"/>
      <c r="P23" s="32">
        <v>46356</v>
      </c>
      <c r="Q23" s="21">
        <v>3</v>
      </c>
      <c r="R23" s="15">
        <f t="shared" si="3"/>
        <v>1910.1123595505619</v>
      </c>
      <c r="S23" s="15">
        <f t="shared" si="3"/>
        <v>1910.1123595505619</v>
      </c>
      <c r="T23" s="36">
        <f t="shared" si="7"/>
        <v>11460.674157303372</v>
      </c>
      <c r="V23" s="17"/>
    </row>
    <row r="24" spans="1:22">
      <c r="A24" s="125">
        <v>46387</v>
      </c>
      <c r="B24" s="42">
        <f t="shared" si="10"/>
        <v>24</v>
      </c>
      <c r="C24" s="41">
        <f t="shared" si="11"/>
        <v>9254.8314606741587</v>
      </c>
      <c r="D24" s="15">
        <f t="shared" si="5"/>
        <v>2368.9138576779023</v>
      </c>
      <c r="E24" s="15">
        <f t="shared" si="1"/>
        <v>808.98876404494388</v>
      </c>
      <c r="F24" s="15"/>
      <c r="G24" s="15">
        <f t="shared" si="12"/>
        <v>539.32584269662925</v>
      </c>
      <c r="H24" s="15">
        <f t="shared" si="13"/>
        <v>350.56179775280896</v>
      </c>
      <c r="I24" s="15">
        <f t="shared" si="14"/>
        <v>462.74157303370782</v>
      </c>
      <c r="J24" s="15">
        <f t="shared" si="8"/>
        <v>850.78651685393265</v>
      </c>
      <c r="K24" s="39">
        <f t="shared" si="6"/>
        <v>5381.318352059925</v>
      </c>
      <c r="L24" s="45">
        <f t="shared" si="2"/>
        <v>3873.5131086142337</v>
      </c>
      <c r="M24" s="51">
        <v>2500</v>
      </c>
      <c r="N24" s="102">
        <f t="shared" si="9"/>
        <v>3790.9213483146159</v>
      </c>
      <c r="O24" s="20"/>
      <c r="P24" s="125">
        <v>46387</v>
      </c>
      <c r="Q24" s="21">
        <v>3</v>
      </c>
      <c r="R24" s="15">
        <f t="shared" si="3"/>
        <v>1910.1123595505619</v>
      </c>
      <c r="S24" s="15">
        <f t="shared" si="3"/>
        <v>1910.1123595505619</v>
      </c>
      <c r="T24" s="36">
        <f t="shared" si="7"/>
        <v>11460.674157303372</v>
      </c>
      <c r="V24" s="17"/>
    </row>
    <row r="25" spans="1:22">
      <c r="A25" s="32">
        <v>46418</v>
      </c>
      <c r="B25" s="42">
        <f t="shared" si="10"/>
        <v>27</v>
      </c>
      <c r="C25" s="41">
        <f t="shared" si="11"/>
        <v>10411.685393258427</v>
      </c>
      <c r="D25" s="15">
        <v>0</v>
      </c>
      <c r="E25" s="15">
        <f t="shared" si="1"/>
        <v>910.11235955056191</v>
      </c>
      <c r="F25" s="15"/>
      <c r="G25" s="15">
        <f t="shared" si="12"/>
        <v>606.74157303370794</v>
      </c>
      <c r="H25" s="15">
        <f t="shared" si="13"/>
        <v>394.38202247191009</v>
      </c>
      <c r="I25" s="15">
        <f t="shared" si="14"/>
        <v>520.58426966292132</v>
      </c>
      <c r="J25" s="15">
        <f t="shared" si="8"/>
        <v>850.78651685393265</v>
      </c>
      <c r="K25" s="39">
        <f t="shared" ref="K25:K49" si="15">(E25+G25+I25+J25+D25+H25)</f>
        <v>3282.606741573034</v>
      </c>
      <c r="L25" s="45">
        <f t="shared" si="2"/>
        <v>7129.0786516853932</v>
      </c>
      <c r="M25" s="51">
        <v>2500</v>
      </c>
      <c r="N25" s="102">
        <f t="shared" si="9"/>
        <v>1959.3258426966368</v>
      </c>
      <c r="O25" s="20"/>
      <c r="P25" s="32">
        <v>46418</v>
      </c>
      <c r="Q25" s="21">
        <v>3</v>
      </c>
      <c r="R25" s="15">
        <f t="shared" si="3"/>
        <v>1910.1123595505619</v>
      </c>
      <c r="S25" s="15">
        <f t="shared" si="3"/>
        <v>1910.1123595505619</v>
      </c>
      <c r="T25" s="36">
        <f t="shared" si="7"/>
        <v>11460.674157303372</v>
      </c>
      <c r="V25" s="17"/>
    </row>
    <row r="26" spans="1:22">
      <c r="A26" s="32">
        <v>46446</v>
      </c>
      <c r="B26" s="42">
        <f t="shared" si="10"/>
        <v>30</v>
      </c>
      <c r="C26" s="41">
        <f t="shared" si="11"/>
        <v>11568.539325842698</v>
      </c>
      <c r="D26" s="15">
        <v>0</v>
      </c>
      <c r="E26" s="15">
        <f t="shared" si="1"/>
        <v>1011.2359550561798</v>
      </c>
      <c r="F26" s="15"/>
      <c r="G26" s="15">
        <f t="shared" si="12"/>
        <v>674.15730337078662</v>
      </c>
      <c r="H26" s="15">
        <f t="shared" si="13"/>
        <v>438.20224719101122</v>
      </c>
      <c r="I26" s="15">
        <f t="shared" si="14"/>
        <v>578.42696629213481</v>
      </c>
      <c r="J26" s="15">
        <f t="shared" si="8"/>
        <v>850.78651685393265</v>
      </c>
      <c r="K26" s="39">
        <f t="shared" si="15"/>
        <v>3552.8089887640454</v>
      </c>
      <c r="L26" s="45">
        <f t="shared" si="2"/>
        <v>8015.7303370786522</v>
      </c>
      <c r="M26" s="15"/>
      <c r="N26" s="102">
        <f t="shared" si="9"/>
        <v>-1485.6179775280834</v>
      </c>
      <c r="O26" s="20"/>
      <c r="P26" s="32">
        <v>46446</v>
      </c>
      <c r="Q26" s="21"/>
      <c r="R26" s="15">
        <f t="shared" si="3"/>
        <v>1910.1123595505619</v>
      </c>
      <c r="S26" s="15">
        <f t="shared" si="3"/>
        <v>1910.1123595505619</v>
      </c>
      <c r="T26" s="36">
        <f t="shared" si="7"/>
        <v>0</v>
      </c>
      <c r="V26" s="17"/>
    </row>
    <row r="27" spans="1:22">
      <c r="A27" s="32">
        <v>46477</v>
      </c>
      <c r="B27" s="42">
        <f t="shared" si="10"/>
        <v>30</v>
      </c>
      <c r="C27" s="41">
        <f t="shared" si="11"/>
        <v>11568.539325842698</v>
      </c>
      <c r="D27" s="15">
        <v>0</v>
      </c>
      <c r="E27" s="15">
        <f t="shared" si="1"/>
        <v>1011.2359550561798</v>
      </c>
      <c r="F27" s="15"/>
      <c r="G27" s="15">
        <f t="shared" si="12"/>
        <v>674.15730337078662</v>
      </c>
      <c r="H27" s="15">
        <f t="shared" si="13"/>
        <v>438.20224719101122</v>
      </c>
      <c r="I27" s="15">
        <f t="shared" si="14"/>
        <v>578.42696629213481</v>
      </c>
      <c r="J27" s="15">
        <f t="shared" si="8"/>
        <v>0</v>
      </c>
      <c r="K27" s="39">
        <f t="shared" si="15"/>
        <v>2702.0224719101125</v>
      </c>
      <c r="L27" s="45">
        <f t="shared" si="2"/>
        <v>8866.5168539325859</v>
      </c>
      <c r="M27" s="15"/>
      <c r="N27" s="102">
        <f t="shared" si="9"/>
        <v>7380.8988764045025</v>
      </c>
      <c r="O27" s="20"/>
      <c r="P27" s="32">
        <v>46477</v>
      </c>
      <c r="Q27" s="21"/>
      <c r="R27" s="15">
        <f t="shared" si="3"/>
        <v>1910.1123595505619</v>
      </c>
      <c r="S27" s="15">
        <f t="shared" si="3"/>
        <v>1910.1123595505619</v>
      </c>
      <c r="T27" s="36">
        <f t="shared" si="7"/>
        <v>0</v>
      </c>
      <c r="V27" s="17"/>
    </row>
    <row r="28" spans="1:22">
      <c r="A28" s="32">
        <v>46507</v>
      </c>
      <c r="B28" s="42">
        <f t="shared" si="10"/>
        <v>30</v>
      </c>
      <c r="C28" s="41">
        <f t="shared" si="11"/>
        <v>11568.539325842698</v>
      </c>
      <c r="D28" s="15">
        <v>0</v>
      </c>
      <c r="E28" s="15">
        <f t="shared" si="1"/>
        <v>1011.2359550561798</v>
      </c>
      <c r="F28" s="15"/>
      <c r="G28" s="15">
        <f t="shared" si="12"/>
        <v>674.15730337078662</v>
      </c>
      <c r="H28" s="15">
        <f t="shared" si="13"/>
        <v>438.20224719101122</v>
      </c>
      <c r="I28" s="15">
        <f t="shared" si="14"/>
        <v>578.42696629213481</v>
      </c>
      <c r="J28" s="15">
        <f t="shared" si="8"/>
        <v>0</v>
      </c>
      <c r="K28" s="39">
        <f t="shared" si="15"/>
        <v>2702.0224719101125</v>
      </c>
      <c r="L28" s="45">
        <f t="shared" si="2"/>
        <v>8866.5168539325859</v>
      </c>
      <c r="M28" s="15"/>
      <c r="N28" s="102">
        <f t="shared" si="9"/>
        <v>16247.415730337088</v>
      </c>
      <c r="P28" s="32">
        <v>46507</v>
      </c>
      <c r="Q28" s="21"/>
      <c r="R28" s="15">
        <f t="shared" si="3"/>
        <v>1910.1123595505619</v>
      </c>
      <c r="S28" s="15">
        <f t="shared" si="3"/>
        <v>1910.1123595505619</v>
      </c>
      <c r="T28" s="36">
        <f t="shared" si="7"/>
        <v>0</v>
      </c>
      <c r="V28" s="17"/>
    </row>
    <row r="29" spans="1:22">
      <c r="A29" s="32">
        <v>46538</v>
      </c>
      <c r="B29" s="42">
        <f t="shared" si="10"/>
        <v>30</v>
      </c>
      <c r="C29" s="41">
        <f t="shared" si="11"/>
        <v>11568.539325842698</v>
      </c>
      <c r="D29" s="15">
        <v>0</v>
      </c>
      <c r="E29" s="15">
        <f t="shared" si="1"/>
        <v>1011.2359550561798</v>
      </c>
      <c r="F29" s="15"/>
      <c r="G29" s="15">
        <f t="shared" si="12"/>
        <v>674.15730337078662</v>
      </c>
      <c r="H29" s="15">
        <f t="shared" si="13"/>
        <v>438.20224719101122</v>
      </c>
      <c r="I29" s="15">
        <f t="shared" si="14"/>
        <v>578.42696629213481</v>
      </c>
      <c r="J29" s="15">
        <f t="shared" si="8"/>
        <v>0</v>
      </c>
      <c r="K29" s="39">
        <f t="shared" si="15"/>
        <v>2702.0224719101125</v>
      </c>
      <c r="L29" s="45">
        <f t="shared" si="2"/>
        <v>8866.5168539325859</v>
      </c>
      <c r="M29" s="15"/>
      <c r="N29" s="102">
        <f t="shared" si="9"/>
        <v>25113.932584269674</v>
      </c>
      <c r="P29" s="32">
        <v>46538</v>
      </c>
      <c r="Q29" s="21"/>
      <c r="R29" s="15">
        <f t="shared" si="3"/>
        <v>1910.1123595505619</v>
      </c>
      <c r="S29" s="15">
        <f t="shared" si="3"/>
        <v>1910.1123595505619</v>
      </c>
      <c r="T29" s="36">
        <f t="shared" si="7"/>
        <v>0</v>
      </c>
      <c r="V29" s="17"/>
    </row>
    <row r="30" spans="1:22">
      <c r="A30" s="32">
        <v>46568</v>
      </c>
      <c r="B30" s="42">
        <f t="shared" si="10"/>
        <v>30</v>
      </c>
      <c r="C30" s="41">
        <f t="shared" si="11"/>
        <v>11568.539325842698</v>
      </c>
      <c r="D30" s="15">
        <v>0</v>
      </c>
      <c r="E30" s="15">
        <f t="shared" si="1"/>
        <v>1011.2359550561798</v>
      </c>
      <c r="F30" s="15"/>
      <c r="G30" s="15">
        <f t="shared" si="12"/>
        <v>674.15730337078662</v>
      </c>
      <c r="H30" s="15">
        <f t="shared" si="13"/>
        <v>438.20224719101122</v>
      </c>
      <c r="I30" s="15">
        <f t="shared" si="14"/>
        <v>578.42696629213481</v>
      </c>
      <c r="J30" s="15">
        <f t="shared" si="8"/>
        <v>0</v>
      </c>
      <c r="K30" s="39">
        <f t="shared" si="15"/>
        <v>2702.0224719101125</v>
      </c>
      <c r="L30" s="45">
        <f t="shared" si="2"/>
        <v>8866.5168539325859</v>
      </c>
      <c r="M30" s="15"/>
      <c r="N30" s="102">
        <f t="shared" si="9"/>
        <v>33980.44943820226</v>
      </c>
      <c r="P30" s="32">
        <v>46568</v>
      </c>
      <c r="Q30" s="21"/>
      <c r="R30" s="15">
        <f t="shared" si="3"/>
        <v>1910.1123595505619</v>
      </c>
      <c r="S30" s="15">
        <f t="shared" si="3"/>
        <v>1910.1123595505619</v>
      </c>
      <c r="T30" s="36">
        <f t="shared" si="7"/>
        <v>0</v>
      </c>
      <c r="V30" s="17"/>
    </row>
    <row r="31" spans="1:22">
      <c r="A31" s="32">
        <v>46599</v>
      </c>
      <c r="B31" s="42">
        <f t="shared" si="10"/>
        <v>30</v>
      </c>
      <c r="C31" s="41">
        <f t="shared" si="11"/>
        <v>11568.539325842698</v>
      </c>
      <c r="D31" s="15">
        <v>0</v>
      </c>
      <c r="E31" s="15">
        <f t="shared" si="1"/>
        <v>1011.2359550561798</v>
      </c>
      <c r="F31" s="15"/>
      <c r="G31" s="15">
        <f t="shared" si="12"/>
        <v>674.15730337078662</v>
      </c>
      <c r="H31" s="15">
        <f t="shared" si="13"/>
        <v>438.20224719101122</v>
      </c>
      <c r="I31" s="15">
        <f t="shared" si="14"/>
        <v>578.42696629213481</v>
      </c>
      <c r="J31" s="15">
        <f t="shared" si="8"/>
        <v>0</v>
      </c>
      <c r="K31" s="39">
        <f t="shared" si="15"/>
        <v>2702.0224719101125</v>
      </c>
      <c r="L31" s="45">
        <f t="shared" si="2"/>
        <v>8866.5168539325859</v>
      </c>
      <c r="M31" s="15"/>
      <c r="N31" s="102">
        <f t="shared" si="9"/>
        <v>42846.96629213485</v>
      </c>
      <c r="P31" s="32">
        <v>46599</v>
      </c>
      <c r="Q31" s="21"/>
      <c r="R31" s="15">
        <f t="shared" ref="R31:S37" si="16">($E$3*50%)</f>
        <v>1910.1123595505619</v>
      </c>
      <c r="S31" s="15">
        <f t="shared" si="16"/>
        <v>1910.1123595505619</v>
      </c>
      <c r="T31" s="36">
        <f t="shared" si="7"/>
        <v>0</v>
      </c>
      <c r="V31" s="17"/>
    </row>
    <row r="32" spans="1:22">
      <c r="A32" s="32">
        <v>46630</v>
      </c>
      <c r="B32" s="42">
        <f t="shared" si="10"/>
        <v>30</v>
      </c>
      <c r="C32" s="41">
        <f t="shared" si="11"/>
        <v>11568.539325842698</v>
      </c>
      <c r="D32" s="15">
        <v>0</v>
      </c>
      <c r="E32" s="15">
        <f t="shared" si="1"/>
        <v>1011.2359550561798</v>
      </c>
      <c r="F32" s="15"/>
      <c r="G32" s="15">
        <f t="shared" si="12"/>
        <v>674.15730337078662</v>
      </c>
      <c r="H32" s="15">
        <f t="shared" si="13"/>
        <v>438.20224719101122</v>
      </c>
      <c r="I32" s="15">
        <f t="shared" si="14"/>
        <v>578.42696629213481</v>
      </c>
      <c r="J32" s="15">
        <f t="shared" si="8"/>
        <v>0</v>
      </c>
      <c r="K32" s="39">
        <f t="shared" si="15"/>
        <v>2702.0224719101125</v>
      </c>
      <c r="L32" s="45">
        <f t="shared" si="2"/>
        <v>8866.5168539325859</v>
      </c>
      <c r="M32" s="15"/>
      <c r="N32" s="102">
        <f t="shared" si="9"/>
        <v>51713.483146067432</v>
      </c>
      <c r="P32" s="32">
        <v>46630</v>
      </c>
      <c r="Q32" s="21"/>
      <c r="R32" s="15">
        <f t="shared" si="16"/>
        <v>1910.1123595505619</v>
      </c>
      <c r="S32" s="15">
        <f t="shared" si="16"/>
        <v>1910.1123595505619</v>
      </c>
      <c r="T32" s="36">
        <f t="shared" si="7"/>
        <v>0</v>
      </c>
      <c r="V32" s="17"/>
    </row>
    <row r="33" spans="1:22">
      <c r="A33" s="32">
        <v>46660</v>
      </c>
      <c r="B33" s="42">
        <f t="shared" si="10"/>
        <v>30</v>
      </c>
      <c r="C33" s="41">
        <f t="shared" si="11"/>
        <v>11568.539325842698</v>
      </c>
      <c r="D33" s="15">
        <v>0</v>
      </c>
      <c r="E33" s="15">
        <f t="shared" si="1"/>
        <v>1011.2359550561798</v>
      </c>
      <c r="F33" s="15"/>
      <c r="G33" s="15">
        <f t="shared" si="12"/>
        <v>674.15730337078662</v>
      </c>
      <c r="H33" s="15">
        <f t="shared" si="13"/>
        <v>438.20224719101122</v>
      </c>
      <c r="I33" s="15">
        <f t="shared" si="14"/>
        <v>578.42696629213481</v>
      </c>
      <c r="J33" s="15">
        <f t="shared" si="8"/>
        <v>0</v>
      </c>
      <c r="K33" s="39">
        <f t="shared" si="15"/>
        <v>2702.0224719101125</v>
      </c>
      <c r="L33" s="45">
        <f t="shared" si="2"/>
        <v>8866.5168539325859</v>
      </c>
      <c r="M33" s="15"/>
      <c r="N33" s="102">
        <f t="shared" si="9"/>
        <v>60580.000000000015</v>
      </c>
      <c r="P33" s="32">
        <v>46660</v>
      </c>
      <c r="Q33" s="21"/>
      <c r="R33" s="15">
        <f t="shared" si="16"/>
        <v>1910.1123595505619</v>
      </c>
      <c r="S33" s="15">
        <f t="shared" si="16"/>
        <v>1910.1123595505619</v>
      </c>
      <c r="T33" s="36">
        <f t="shared" si="7"/>
        <v>0</v>
      </c>
      <c r="V33" s="17"/>
    </row>
    <row r="34" spans="1:22">
      <c r="A34" s="32">
        <v>46691</v>
      </c>
      <c r="B34" s="42">
        <f t="shared" si="10"/>
        <v>30</v>
      </c>
      <c r="C34" s="41">
        <f t="shared" si="11"/>
        <v>11568.539325842698</v>
      </c>
      <c r="D34" s="15">
        <v>0</v>
      </c>
      <c r="E34" s="15">
        <f t="shared" si="1"/>
        <v>1011.2359550561798</v>
      </c>
      <c r="F34" s="15"/>
      <c r="G34" s="15">
        <f t="shared" si="12"/>
        <v>674.15730337078662</v>
      </c>
      <c r="H34" s="15">
        <f t="shared" si="13"/>
        <v>438.20224719101122</v>
      </c>
      <c r="I34" s="15">
        <f t="shared" si="14"/>
        <v>578.42696629213481</v>
      </c>
      <c r="J34" s="15">
        <f t="shared" si="8"/>
        <v>0</v>
      </c>
      <c r="K34" s="39">
        <f t="shared" si="15"/>
        <v>2702.0224719101125</v>
      </c>
      <c r="L34" s="45">
        <f t="shared" si="2"/>
        <v>8866.5168539325859</v>
      </c>
      <c r="M34" s="15"/>
      <c r="N34" s="102">
        <f t="shared" si="9"/>
        <v>69446.516853932597</v>
      </c>
      <c r="P34" s="32">
        <v>46691</v>
      </c>
      <c r="Q34" s="21"/>
      <c r="R34" s="15">
        <f t="shared" si="16"/>
        <v>1910.1123595505619</v>
      </c>
      <c r="S34" s="15">
        <f t="shared" si="16"/>
        <v>1910.1123595505619</v>
      </c>
      <c r="T34" s="36">
        <f t="shared" si="7"/>
        <v>0</v>
      </c>
      <c r="V34" s="17"/>
    </row>
    <row r="35" spans="1:22">
      <c r="A35" s="32">
        <v>46721</v>
      </c>
      <c r="B35" s="42">
        <f t="shared" si="10"/>
        <v>30</v>
      </c>
      <c r="C35" s="41">
        <f t="shared" si="11"/>
        <v>11568.539325842698</v>
      </c>
      <c r="D35" s="15">
        <v>0</v>
      </c>
      <c r="E35" s="15">
        <f t="shared" si="1"/>
        <v>1011.2359550561798</v>
      </c>
      <c r="F35" s="15"/>
      <c r="G35" s="15">
        <f t="shared" si="12"/>
        <v>674.15730337078662</v>
      </c>
      <c r="H35" s="15">
        <f t="shared" si="13"/>
        <v>438.20224719101122</v>
      </c>
      <c r="I35" s="15">
        <f t="shared" si="14"/>
        <v>578.42696629213481</v>
      </c>
      <c r="J35" s="15">
        <f t="shared" si="8"/>
        <v>0</v>
      </c>
      <c r="K35" s="39">
        <f t="shared" si="15"/>
        <v>2702.0224719101125</v>
      </c>
      <c r="L35" s="45">
        <f t="shared" si="2"/>
        <v>8866.5168539325859</v>
      </c>
      <c r="M35" s="15"/>
      <c r="N35" s="102">
        <f t="shared" si="9"/>
        <v>78313.033707865179</v>
      </c>
      <c r="P35" s="32">
        <v>46721</v>
      </c>
      <c r="Q35" s="21"/>
      <c r="R35" s="15">
        <f t="shared" si="16"/>
        <v>1910.1123595505619</v>
      </c>
      <c r="S35" s="15">
        <f t="shared" si="16"/>
        <v>1910.1123595505619</v>
      </c>
      <c r="T35" s="36">
        <f t="shared" si="7"/>
        <v>0</v>
      </c>
      <c r="V35" s="17"/>
    </row>
    <row r="36" spans="1:22" ht="16.2" thickBot="1">
      <c r="A36" s="125">
        <v>46752</v>
      </c>
      <c r="B36" s="42">
        <f t="shared" si="10"/>
        <v>30</v>
      </c>
      <c r="C36" s="41">
        <f t="shared" si="11"/>
        <v>11568.539325842698</v>
      </c>
      <c r="D36" s="15">
        <v>0</v>
      </c>
      <c r="E36" s="15">
        <f t="shared" si="1"/>
        <v>1011.2359550561798</v>
      </c>
      <c r="F36" s="15"/>
      <c r="G36" s="15">
        <f t="shared" si="12"/>
        <v>674.15730337078662</v>
      </c>
      <c r="H36" s="15">
        <f t="shared" si="13"/>
        <v>438.20224719101122</v>
      </c>
      <c r="I36" s="15">
        <f t="shared" si="14"/>
        <v>578.42696629213481</v>
      </c>
      <c r="J36" s="15">
        <f t="shared" si="8"/>
        <v>0</v>
      </c>
      <c r="K36" s="39">
        <f t="shared" si="15"/>
        <v>2702.0224719101125</v>
      </c>
      <c r="L36" s="45">
        <f t="shared" si="2"/>
        <v>8866.5168539325859</v>
      </c>
      <c r="M36" s="15"/>
      <c r="N36" s="102">
        <f t="shared" si="9"/>
        <v>87179.550561797761</v>
      </c>
      <c r="P36" s="33">
        <v>46752</v>
      </c>
      <c r="Q36" s="21"/>
      <c r="R36" s="15">
        <f t="shared" si="16"/>
        <v>1910.1123595505619</v>
      </c>
      <c r="S36" s="15">
        <f t="shared" si="16"/>
        <v>1910.1123595505619</v>
      </c>
      <c r="T36" s="36">
        <f t="shared" si="7"/>
        <v>0</v>
      </c>
    </row>
    <row r="37" spans="1:22">
      <c r="A37" s="32">
        <v>46783</v>
      </c>
      <c r="B37" s="42">
        <f t="shared" si="10"/>
        <v>30</v>
      </c>
      <c r="C37" s="41">
        <f t="shared" si="11"/>
        <v>11568.539325842698</v>
      </c>
      <c r="D37" s="15">
        <v>0</v>
      </c>
      <c r="E37" s="15">
        <f t="shared" si="1"/>
        <v>1011.2359550561798</v>
      </c>
      <c r="F37" s="15"/>
      <c r="G37" s="15">
        <f t="shared" si="12"/>
        <v>674.15730337078662</v>
      </c>
      <c r="H37" s="15">
        <f t="shared" si="13"/>
        <v>438.20224719101122</v>
      </c>
      <c r="I37" s="15">
        <f t="shared" si="14"/>
        <v>578.42696629213481</v>
      </c>
      <c r="J37" s="15">
        <f t="shared" si="8"/>
        <v>0</v>
      </c>
      <c r="K37" s="39">
        <f t="shared" si="15"/>
        <v>2702.0224719101125</v>
      </c>
      <c r="L37" s="45">
        <f t="shared" si="2"/>
        <v>8866.5168539325859</v>
      </c>
      <c r="M37" s="15"/>
      <c r="N37" s="102">
        <f t="shared" si="9"/>
        <v>96046.067415730344</v>
      </c>
      <c r="Q37" s="21"/>
      <c r="R37" s="15">
        <f t="shared" si="16"/>
        <v>1910.1123595505619</v>
      </c>
      <c r="S37" s="15">
        <f t="shared" si="16"/>
        <v>1910.1123595505619</v>
      </c>
      <c r="T37" s="36">
        <f t="shared" si="7"/>
        <v>0</v>
      </c>
    </row>
    <row r="38" spans="1:22" ht="16.2" thickBot="1">
      <c r="A38" s="32">
        <v>46812</v>
      </c>
      <c r="B38" s="42">
        <f t="shared" si="10"/>
        <v>30</v>
      </c>
      <c r="C38" s="41">
        <f t="shared" si="11"/>
        <v>11568.539325842698</v>
      </c>
      <c r="D38" s="15">
        <v>0</v>
      </c>
      <c r="E38" s="15">
        <f t="shared" si="1"/>
        <v>1011.2359550561798</v>
      </c>
      <c r="F38" s="15"/>
      <c r="G38" s="15">
        <f t="shared" si="12"/>
        <v>674.15730337078662</v>
      </c>
      <c r="H38" s="15">
        <f t="shared" si="13"/>
        <v>438.20224719101122</v>
      </c>
      <c r="I38" s="15">
        <f t="shared" si="14"/>
        <v>578.42696629213481</v>
      </c>
      <c r="J38" s="15">
        <f t="shared" si="8"/>
        <v>0</v>
      </c>
      <c r="K38" s="39">
        <f t="shared" si="15"/>
        <v>2702.0224719101125</v>
      </c>
      <c r="L38" s="45">
        <f t="shared" si="2"/>
        <v>8866.5168539325859</v>
      </c>
      <c r="M38" s="15"/>
      <c r="N38" s="102">
        <f t="shared" si="9"/>
        <v>104912.58426966293</v>
      </c>
      <c r="Q38" s="34"/>
      <c r="R38" s="35">
        <f t="shared" ref="R38:S38" si="17">($E$3*50%)</f>
        <v>1910.1123595505619</v>
      </c>
      <c r="S38" s="35">
        <f t="shared" si="17"/>
        <v>1910.1123595505619</v>
      </c>
      <c r="T38" s="37">
        <f t="shared" si="7"/>
        <v>0</v>
      </c>
    </row>
    <row r="39" spans="1:22">
      <c r="A39" s="32">
        <v>46843</v>
      </c>
      <c r="B39" s="42">
        <f t="shared" ref="B39:B49" si="18">B38+Q38</f>
        <v>30</v>
      </c>
      <c r="C39" s="41">
        <f t="shared" si="11"/>
        <v>11568.539325842698</v>
      </c>
      <c r="D39" s="15">
        <v>0</v>
      </c>
      <c r="E39" s="15">
        <f t="shared" si="1"/>
        <v>1011.2359550561798</v>
      </c>
      <c r="F39" s="15"/>
      <c r="G39" s="15">
        <f t="shared" si="12"/>
        <v>674.15730337078662</v>
      </c>
      <c r="H39" s="15">
        <f t="shared" si="13"/>
        <v>438.20224719101122</v>
      </c>
      <c r="I39" s="15">
        <f t="shared" si="14"/>
        <v>578.42696629213481</v>
      </c>
      <c r="J39" s="15">
        <f t="shared" si="8"/>
        <v>0</v>
      </c>
      <c r="K39" s="39">
        <f t="shared" si="15"/>
        <v>2702.0224719101125</v>
      </c>
      <c r="L39" s="45">
        <f t="shared" si="2"/>
        <v>8866.5168539325859</v>
      </c>
      <c r="M39" s="15"/>
      <c r="N39" s="102">
        <f t="shared" ref="N39:N49" si="19">M39+L39+N38-T38</f>
        <v>113779.10112359551</v>
      </c>
    </row>
    <row r="40" spans="1:22">
      <c r="A40" s="32">
        <v>46873</v>
      </c>
      <c r="B40" s="42">
        <f t="shared" si="18"/>
        <v>30</v>
      </c>
      <c r="C40" s="41">
        <f t="shared" si="11"/>
        <v>11568.539325842698</v>
      </c>
      <c r="D40" s="15">
        <v>0</v>
      </c>
      <c r="E40" s="15">
        <f t="shared" si="1"/>
        <v>1011.2359550561798</v>
      </c>
      <c r="F40" s="15"/>
      <c r="G40" s="15">
        <f t="shared" si="12"/>
        <v>674.15730337078662</v>
      </c>
      <c r="H40" s="15">
        <f t="shared" si="13"/>
        <v>438.20224719101122</v>
      </c>
      <c r="I40" s="15">
        <f t="shared" si="14"/>
        <v>578.42696629213481</v>
      </c>
      <c r="J40" s="15">
        <f t="shared" si="8"/>
        <v>0</v>
      </c>
      <c r="K40" s="39">
        <f t="shared" si="15"/>
        <v>2702.0224719101125</v>
      </c>
      <c r="L40" s="45">
        <f t="shared" si="2"/>
        <v>8866.5168539325859</v>
      </c>
      <c r="M40" s="15"/>
      <c r="N40" s="102">
        <f t="shared" si="19"/>
        <v>122645.61797752809</v>
      </c>
    </row>
    <row r="41" spans="1:22">
      <c r="A41" s="32">
        <v>46904</v>
      </c>
      <c r="B41" s="42">
        <f t="shared" si="18"/>
        <v>30</v>
      </c>
      <c r="C41" s="41">
        <f t="shared" si="11"/>
        <v>11568.539325842698</v>
      </c>
      <c r="D41" s="15">
        <v>0</v>
      </c>
      <c r="E41" s="15">
        <f t="shared" si="1"/>
        <v>1011.2359550561798</v>
      </c>
      <c r="F41" s="15"/>
      <c r="G41" s="15">
        <f t="shared" si="12"/>
        <v>674.15730337078662</v>
      </c>
      <c r="H41" s="15">
        <f t="shared" si="13"/>
        <v>438.20224719101122</v>
      </c>
      <c r="I41" s="15">
        <f t="shared" si="14"/>
        <v>578.42696629213481</v>
      </c>
      <c r="J41" s="15">
        <f t="shared" si="8"/>
        <v>0</v>
      </c>
      <c r="K41" s="39">
        <f t="shared" si="15"/>
        <v>2702.0224719101125</v>
      </c>
      <c r="L41" s="45">
        <f t="shared" si="2"/>
        <v>8866.5168539325859</v>
      </c>
      <c r="M41" s="15"/>
      <c r="N41" s="102">
        <f t="shared" si="19"/>
        <v>131512.13483146069</v>
      </c>
    </row>
    <row r="42" spans="1:22">
      <c r="A42" s="32">
        <v>46934</v>
      </c>
      <c r="B42" s="42">
        <f t="shared" si="18"/>
        <v>30</v>
      </c>
      <c r="C42" s="41">
        <f t="shared" si="11"/>
        <v>11568.539325842698</v>
      </c>
      <c r="D42" s="15">
        <v>0</v>
      </c>
      <c r="E42" s="15">
        <f t="shared" si="1"/>
        <v>1011.2359550561798</v>
      </c>
      <c r="F42" s="15"/>
      <c r="G42" s="15">
        <f t="shared" si="12"/>
        <v>674.15730337078662</v>
      </c>
      <c r="H42" s="15">
        <f t="shared" si="13"/>
        <v>438.20224719101122</v>
      </c>
      <c r="I42" s="15">
        <f t="shared" si="14"/>
        <v>578.42696629213481</v>
      </c>
      <c r="J42" s="15">
        <f t="shared" si="8"/>
        <v>0</v>
      </c>
      <c r="K42" s="39">
        <f t="shared" si="15"/>
        <v>2702.0224719101125</v>
      </c>
      <c r="L42" s="45">
        <f t="shared" si="2"/>
        <v>8866.5168539325859</v>
      </c>
      <c r="M42" s="15"/>
      <c r="N42" s="102">
        <f t="shared" si="19"/>
        <v>140378.65168539327</v>
      </c>
    </row>
    <row r="43" spans="1:22">
      <c r="A43" s="32">
        <v>46965</v>
      </c>
      <c r="B43" s="42">
        <f t="shared" si="18"/>
        <v>30</v>
      </c>
      <c r="C43" s="41">
        <f t="shared" si="11"/>
        <v>11568.539325842698</v>
      </c>
      <c r="D43" s="15">
        <v>0</v>
      </c>
      <c r="E43" s="15">
        <f t="shared" si="1"/>
        <v>1011.2359550561798</v>
      </c>
      <c r="F43" s="15"/>
      <c r="G43" s="15">
        <f t="shared" si="12"/>
        <v>674.15730337078662</v>
      </c>
      <c r="H43" s="15">
        <f t="shared" si="13"/>
        <v>438.20224719101122</v>
      </c>
      <c r="I43" s="15">
        <f t="shared" si="14"/>
        <v>578.42696629213481</v>
      </c>
      <c r="J43" s="15">
        <f t="shared" si="8"/>
        <v>0</v>
      </c>
      <c r="K43" s="39">
        <f t="shared" si="15"/>
        <v>2702.0224719101125</v>
      </c>
      <c r="L43" s="45">
        <f t="shared" si="2"/>
        <v>8866.5168539325859</v>
      </c>
      <c r="M43" s="15"/>
      <c r="N43" s="102">
        <f t="shared" si="19"/>
        <v>149245.16853932585</v>
      </c>
    </row>
    <row r="44" spans="1:22">
      <c r="A44" s="32">
        <v>46996</v>
      </c>
      <c r="B44" s="42">
        <f t="shared" si="18"/>
        <v>30</v>
      </c>
      <c r="C44" s="41">
        <f t="shared" si="11"/>
        <v>11568.539325842698</v>
      </c>
      <c r="D44" s="15">
        <v>0</v>
      </c>
      <c r="E44" s="15">
        <f t="shared" si="1"/>
        <v>1011.2359550561798</v>
      </c>
      <c r="F44" s="15"/>
      <c r="G44" s="15">
        <f t="shared" si="12"/>
        <v>674.15730337078662</v>
      </c>
      <c r="H44" s="15">
        <f t="shared" si="13"/>
        <v>438.20224719101122</v>
      </c>
      <c r="I44" s="15">
        <f t="shared" si="14"/>
        <v>578.42696629213481</v>
      </c>
      <c r="J44" s="15">
        <f t="shared" si="8"/>
        <v>0</v>
      </c>
      <c r="K44" s="39">
        <f t="shared" si="15"/>
        <v>2702.0224719101125</v>
      </c>
      <c r="L44" s="45">
        <f t="shared" si="2"/>
        <v>8866.5168539325859</v>
      </c>
      <c r="M44" s="15"/>
      <c r="N44" s="102">
        <f t="shared" si="19"/>
        <v>158111.68539325843</v>
      </c>
    </row>
    <row r="45" spans="1:22">
      <c r="A45" s="32">
        <v>47026</v>
      </c>
      <c r="B45" s="42">
        <f t="shared" si="18"/>
        <v>30</v>
      </c>
      <c r="C45" s="41">
        <f t="shared" si="11"/>
        <v>11568.539325842698</v>
      </c>
      <c r="D45" s="15">
        <v>0</v>
      </c>
      <c r="E45" s="15">
        <f t="shared" si="1"/>
        <v>1011.2359550561798</v>
      </c>
      <c r="F45" s="15"/>
      <c r="G45" s="15">
        <f t="shared" si="12"/>
        <v>674.15730337078662</v>
      </c>
      <c r="H45" s="15">
        <f t="shared" si="13"/>
        <v>438.20224719101122</v>
      </c>
      <c r="I45" s="15">
        <f t="shared" si="14"/>
        <v>578.42696629213481</v>
      </c>
      <c r="J45" s="15">
        <f t="shared" si="8"/>
        <v>0</v>
      </c>
      <c r="K45" s="39">
        <f t="shared" si="15"/>
        <v>2702.0224719101125</v>
      </c>
      <c r="L45" s="45">
        <f t="shared" si="2"/>
        <v>8866.5168539325859</v>
      </c>
      <c r="M45" s="15"/>
      <c r="N45" s="102">
        <f t="shared" si="19"/>
        <v>166978.20224719102</v>
      </c>
    </row>
    <row r="46" spans="1:22">
      <c r="A46" s="32">
        <v>47057</v>
      </c>
      <c r="B46" s="42">
        <f t="shared" si="18"/>
        <v>30</v>
      </c>
      <c r="C46" s="41">
        <f t="shared" si="11"/>
        <v>11568.539325842698</v>
      </c>
      <c r="D46" s="15">
        <v>0</v>
      </c>
      <c r="E46" s="15">
        <f t="shared" si="1"/>
        <v>1011.2359550561798</v>
      </c>
      <c r="F46" s="15"/>
      <c r="G46" s="15">
        <f t="shared" si="12"/>
        <v>674.15730337078662</v>
      </c>
      <c r="H46" s="15">
        <f t="shared" si="13"/>
        <v>438.20224719101122</v>
      </c>
      <c r="I46" s="15">
        <f t="shared" si="14"/>
        <v>578.42696629213481</v>
      </c>
      <c r="J46" s="15">
        <f t="shared" si="8"/>
        <v>0</v>
      </c>
      <c r="K46" s="39">
        <f t="shared" si="15"/>
        <v>2702.0224719101125</v>
      </c>
      <c r="L46" s="45">
        <f t="shared" si="2"/>
        <v>8866.5168539325859</v>
      </c>
      <c r="M46" s="15"/>
      <c r="N46" s="102">
        <f t="shared" si="19"/>
        <v>175844.7191011236</v>
      </c>
    </row>
    <row r="47" spans="1:22">
      <c r="A47" s="32">
        <v>47087</v>
      </c>
      <c r="B47" s="42">
        <f t="shared" si="18"/>
        <v>30</v>
      </c>
      <c r="C47" s="41">
        <f t="shared" si="11"/>
        <v>11568.539325842698</v>
      </c>
      <c r="D47" s="15">
        <v>0</v>
      </c>
      <c r="E47" s="15">
        <f t="shared" si="1"/>
        <v>1011.2359550561798</v>
      </c>
      <c r="F47" s="15"/>
      <c r="G47" s="15">
        <f t="shared" si="12"/>
        <v>674.15730337078662</v>
      </c>
      <c r="H47" s="15">
        <f t="shared" si="13"/>
        <v>438.20224719101122</v>
      </c>
      <c r="I47" s="15">
        <f t="shared" si="14"/>
        <v>578.42696629213481</v>
      </c>
      <c r="J47" s="15">
        <f t="shared" si="8"/>
        <v>0</v>
      </c>
      <c r="K47" s="39">
        <f t="shared" si="15"/>
        <v>2702.0224719101125</v>
      </c>
      <c r="L47" s="45">
        <f t="shared" si="2"/>
        <v>8866.5168539325859</v>
      </c>
      <c r="M47" s="15"/>
      <c r="N47" s="102">
        <f t="shared" si="19"/>
        <v>184711.23595505618</v>
      </c>
    </row>
    <row r="48" spans="1:22" ht="16.2" thickBot="1">
      <c r="A48" s="33">
        <v>47118</v>
      </c>
      <c r="B48" s="42">
        <f t="shared" si="18"/>
        <v>30</v>
      </c>
      <c r="C48" s="41">
        <f t="shared" si="11"/>
        <v>11568.539325842698</v>
      </c>
      <c r="D48" s="15">
        <v>0</v>
      </c>
      <c r="E48" s="15">
        <f t="shared" si="1"/>
        <v>1011.2359550561798</v>
      </c>
      <c r="F48" s="15"/>
      <c r="G48" s="15">
        <f t="shared" si="12"/>
        <v>674.15730337078662</v>
      </c>
      <c r="H48" s="15">
        <f t="shared" si="13"/>
        <v>438.20224719101122</v>
      </c>
      <c r="I48" s="15">
        <f t="shared" si="14"/>
        <v>578.42696629213481</v>
      </c>
      <c r="J48" s="15">
        <f t="shared" si="8"/>
        <v>0</v>
      </c>
      <c r="K48" s="39">
        <f t="shared" si="15"/>
        <v>2702.0224719101125</v>
      </c>
      <c r="L48" s="45">
        <f t="shared" si="2"/>
        <v>8866.5168539325859</v>
      </c>
      <c r="M48" s="15"/>
      <c r="N48" s="102">
        <f t="shared" si="19"/>
        <v>193577.75280898876</v>
      </c>
    </row>
    <row r="49" spans="1:14" ht="16.2" thickBot="1">
      <c r="A49" s="33">
        <v>47149</v>
      </c>
      <c r="B49" s="42">
        <f t="shared" si="18"/>
        <v>30</v>
      </c>
      <c r="C49" s="41">
        <f t="shared" si="11"/>
        <v>11568.539325842698</v>
      </c>
      <c r="D49" s="15">
        <v>0</v>
      </c>
      <c r="E49" s="15">
        <f t="shared" si="1"/>
        <v>1011.2359550561798</v>
      </c>
      <c r="F49" s="15"/>
      <c r="G49" s="15">
        <f t="shared" si="12"/>
        <v>674.15730337078662</v>
      </c>
      <c r="H49" s="15">
        <f t="shared" si="13"/>
        <v>438.20224719101122</v>
      </c>
      <c r="I49" s="15">
        <f t="shared" si="14"/>
        <v>578.42696629213481</v>
      </c>
      <c r="J49" s="15">
        <f t="shared" si="8"/>
        <v>0</v>
      </c>
      <c r="K49" s="39">
        <f t="shared" si="15"/>
        <v>2702.0224719101125</v>
      </c>
      <c r="L49" s="45">
        <f t="shared" si="2"/>
        <v>8866.5168539325859</v>
      </c>
      <c r="M49" s="15"/>
      <c r="N49" s="102">
        <f t="shared" si="19"/>
        <v>202444.26966292135</v>
      </c>
    </row>
  </sheetData>
  <mergeCells count="37">
    <mergeCell ref="D1:E1"/>
    <mergeCell ref="G1:J1"/>
    <mergeCell ref="L1:P1"/>
    <mergeCell ref="A2:C2"/>
    <mergeCell ref="G2:H2"/>
    <mergeCell ref="L2:N2"/>
    <mergeCell ref="A3:C3"/>
    <mergeCell ref="G3:H3"/>
    <mergeCell ref="L3:N3"/>
    <mergeCell ref="A4:C4"/>
    <mergeCell ref="G4:H4"/>
    <mergeCell ref="L4:N4"/>
    <mergeCell ref="P10:T10"/>
    <mergeCell ref="A5:C5"/>
    <mergeCell ref="G5:H5"/>
    <mergeCell ref="L5:N5"/>
    <mergeCell ref="A6:C6"/>
    <mergeCell ref="G6:H6"/>
    <mergeCell ref="L6:N6"/>
    <mergeCell ref="M11:M12"/>
    <mergeCell ref="A7:C7"/>
    <mergeCell ref="L7:N7"/>
    <mergeCell ref="G8:I8"/>
    <mergeCell ref="L8:N8"/>
    <mergeCell ref="A10:N10"/>
    <mergeCell ref="A11:A12"/>
    <mergeCell ref="B11:B12"/>
    <mergeCell ref="C11:C12"/>
    <mergeCell ref="D11:K11"/>
    <mergeCell ref="L11:L12"/>
    <mergeCell ref="T11:T12"/>
    <mergeCell ref="N11:N12"/>
    <mergeCell ref="O11:O12"/>
    <mergeCell ref="P11:P12"/>
    <mergeCell ref="Q11:Q12"/>
    <mergeCell ref="R11:R12"/>
    <mergeCell ref="S11:S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5BB-27E5-C84C-BB26-81A0EE245D0C}">
  <sheetPr>
    <tabColor rgb="FF7030A0"/>
  </sheetPr>
  <dimension ref="A1:R29"/>
  <sheetViews>
    <sheetView tabSelected="1" topLeftCell="E12" workbookViewId="0">
      <selection activeCell="O1" sqref="O1:R27"/>
    </sheetView>
  </sheetViews>
  <sheetFormatPr baseColWidth="10" defaultRowHeight="15.6"/>
  <cols>
    <col min="1" max="1" width="41.69921875" bestFit="1" customWidth="1"/>
    <col min="2" max="2" width="10.69921875" customWidth="1"/>
    <col min="3" max="3" width="9.796875" style="106" bestFit="1" customWidth="1"/>
    <col min="4" max="4" width="14" style="106" bestFit="1" customWidth="1"/>
    <col min="5" max="5" width="20.69921875" style="106" bestFit="1" customWidth="1"/>
    <col min="6" max="6" width="6" bestFit="1" customWidth="1"/>
    <col min="7" max="7" width="17.5" style="105" bestFit="1" customWidth="1"/>
    <col min="8" max="8" width="11.19921875" bestFit="1" customWidth="1"/>
    <col min="9" max="9" width="24.5" bestFit="1" customWidth="1"/>
    <col min="10" max="10" width="10.796875" bestFit="1" customWidth="1"/>
    <col min="11" max="11" width="0" hidden="1" customWidth="1"/>
    <col min="12" max="12" width="3.19921875" hidden="1" customWidth="1"/>
    <col min="13" max="13" width="4.69921875" bestFit="1" customWidth="1"/>
    <col min="14" max="14" width="5.19921875" bestFit="1" customWidth="1"/>
  </cols>
  <sheetData>
    <row r="1" spans="1:18" ht="21">
      <c r="A1" s="210" t="s">
        <v>157</v>
      </c>
      <c r="B1" s="210"/>
      <c r="C1" s="210"/>
      <c r="D1" s="210"/>
      <c r="E1" s="210"/>
      <c r="F1" s="210"/>
      <c r="G1" s="210"/>
      <c r="H1" s="210"/>
      <c r="I1" s="210"/>
      <c r="J1" s="210"/>
      <c r="O1" s="121" t="s">
        <v>158</v>
      </c>
      <c r="P1" s="121">
        <v>20</v>
      </c>
      <c r="Q1" s="122" t="s">
        <v>159</v>
      </c>
      <c r="R1" s="122">
        <v>12</v>
      </c>
    </row>
    <row r="2" spans="1:18" ht="54">
      <c r="A2" s="110" t="s">
        <v>1</v>
      </c>
      <c r="B2" s="111" t="s">
        <v>156</v>
      </c>
      <c r="C2" s="111" t="s">
        <v>123</v>
      </c>
      <c r="D2" s="111" t="s">
        <v>134</v>
      </c>
      <c r="E2" s="111" t="s">
        <v>122</v>
      </c>
      <c r="F2" s="110" t="s">
        <v>21</v>
      </c>
      <c r="G2" s="118" t="s">
        <v>138</v>
      </c>
      <c r="H2" s="118" t="s">
        <v>139</v>
      </c>
      <c r="I2" s="118" t="s">
        <v>140</v>
      </c>
      <c r="J2" s="118" t="s">
        <v>141</v>
      </c>
      <c r="M2" s="116" t="s">
        <v>25</v>
      </c>
      <c r="N2" s="117">
        <v>4450</v>
      </c>
    </row>
    <row r="3" spans="1:18" ht="18">
      <c r="A3" s="112" t="s">
        <v>121</v>
      </c>
      <c r="B3" s="112" t="s">
        <v>155</v>
      </c>
      <c r="C3" s="113">
        <v>2</v>
      </c>
      <c r="D3" s="113">
        <v>3</v>
      </c>
      <c r="E3" s="113" t="s">
        <v>136</v>
      </c>
      <c r="F3" s="112">
        <v>80</v>
      </c>
      <c r="G3" s="114">
        <v>4500</v>
      </c>
      <c r="H3" s="115">
        <f t="shared" ref="H3:H27" si="0">G3/$N$2</f>
        <v>1.0112359550561798</v>
      </c>
      <c r="I3" s="114">
        <f t="shared" ref="I3:I27" si="1">F3*G3</f>
        <v>360000</v>
      </c>
      <c r="J3" s="115">
        <f t="shared" ref="J3:J27" si="2">I3/$N$2</f>
        <v>80.898876404494388</v>
      </c>
      <c r="O3" s="119">
        <f t="shared" ref="O3:O27" si="3">(C3*($R$1/D3)*$P$1)/2</f>
        <v>80</v>
      </c>
      <c r="P3" s="120">
        <f>F3-O3</f>
        <v>0</v>
      </c>
    </row>
    <row r="4" spans="1:18" ht="18">
      <c r="A4" s="112" t="s">
        <v>145</v>
      </c>
      <c r="B4" s="112" t="s">
        <v>155</v>
      </c>
      <c r="C4" s="113">
        <v>3</v>
      </c>
      <c r="D4" s="113">
        <v>4</v>
      </c>
      <c r="E4" s="113"/>
      <c r="F4" s="112">
        <v>60</v>
      </c>
      <c r="G4" s="114">
        <v>20000</v>
      </c>
      <c r="H4" s="115">
        <f t="shared" si="0"/>
        <v>4.4943820224719104</v>
      </c>
      <c r="I4" s="114">
        <f t="shared" si="1"/>
        <v>1200000</v>
      </c>
      <c r="J4" s="115">
        <f t="shared" si="2"/>
        <v>269.66292134831463</v>
      </c>
      <c r="O4" s="119">
        <f t="shared" si="3"/>
        <v>90</v>
      </c>
      <c r="P4" s="120">
        <f t="shared" ref="P4:P27" si="4">F4-O4</f>
        <v>-30</v>
      </c>
    </row>
    <row r="5" spans="1:18" ht="18">
      <c r="A5" s="112" t="s">
        <v>149</v>
      </c>
      <c r="B5" s="112" t="s">
        <v>155</v>
      </c>
      <c r="C5" s="113">
        <v>1</v>
      </c>
      <c r="D5" s="113">
        <v>4</v>
      </c>
      <c r="E5" s="113"/>
      <c r="F5" s="112">
        <v>20</v>
      </c>
      <c r="G5" s="114">
        <v>45000</v>
      </c>
      <c r="H5" s="115">
        <f t="shared" si="0"/>
        <v>10.112359550561798</v>
      </c>
      <c r="I5" s="114">
        <f t="shared" si="1"/>
        <v>900000</v>
      </c>
      <c r="J5" s="115">
        <f t="shared" si="2"/>
        <v>202.24719101123594</v>
      </c>
      <c r="O5" s="119">
        <f t="shared" si="3"/>
        <v>30</v>
      </c>
      <c r="P5" s="120">
        <f t="shared" si="4"/>
        <v>-10</v>
      </c>
    </row>
    <row r="6" spans="1:18" ht="18">
      <c r="A6" s="112" t="s">
        <v>144</v>
      </c>
      <c r="B6" s="112" t="s">
        <v>155</v>
      </c>
      <c r="C6" s="113">
        <v>1</v>
      </c>
      <c r="D6" s="113">
        <v>5</v>
      </c>
      <c r="E6" s="113"/>
      <c r="F6" s="112">
        <v>20</v>
      </c>
      <c r="G6" s="114">
        <v>55000</v>
      </c>
      <c r="H6" s="115">
        <f t="shared" si="0"/>
        <v>12.359550561797754</v>
      </c>
      <c r="I6" s="114">
        <f t="shared" si="1"/>
        <v>1100000</v>
      </c>
      <c r="J6" s="115">
        <f t="shared" si="2"/>
        <v>247.19101123595505</v>
      </c>
      <c r="O6" s="119">
        <f t="shared" si="3"/>
        <v>24</v>
      </c>
      <c r="P6" s="120">
        <f t="shared" si="4"/>
        <v>-4</v>
      </c>
    </row>
    <row r="7" spans="1:18" ht="18">
      <c r="A7" s="112" t="s">
        <v>119</v>
      </c>
      <c r="B7" s="112" t="s">
        <v>155</v>
      </c>
      <c r="C7" s="113">
        <v>2</v>
      </c>
      <c r="D7" s="113">
        <v>5</v>
      </c>
      <c r="E7" s="113"/>
      <c r="F7" s="112">
        <v>80</v>
      </c>
      <c r="G7" s="114">
        <v>12000</v>
      </c>
      <c r="H7" s="115">
        <f t="shared" si="0"/>
        <v>2.696629213483146</v>
      </c>
      <c r="I7" s="114">
        <f t="shared" si="1"/>
        <v>960000</v>
      </c>
      <c r="J7" s="115">
        <f t="shared" si="2"/>
        <v>215.73033707865167</v>
      </c>
      <c r="O7" s="119">
        <f t="shared" si="3"/>
        <v>48</v>
      </c>
      <c r="P7" s="120">
        <f t="shared" si="4"/>
        <v>32</v>
      </c>
    </row>
    <row r="8" spans="1:18" ht="18">
      <c r="A8" s="112" t="s">
        <v>143</v>
      </c>
      <c r="B8" s="112" t="s">
        <v>155</v>
      </c>
      <c r="C8" s="113">
        <v>1</v>
      </c>
      <c r="D8" s="113">
        <v>6</v>
      </c>
      <c r="E8" s="113"/>
      <c r="F8" s="112">
        <v>20</v>
      </c>
      <c r="G8" s="114">
        <v>40000</v>
      </c>
      <c r="H8" s="115">
        <f t="shared" si="0"/>
        <v>8.9887640449438209</v>
      </c>
      <c r="I8" s="114">
        <f t="shared" si="1"/>
        <v>800000</v>
      </c>
      <c r="J8" s="115">
        <f t="shared" si="2"/>
        <v>179.77528089887642</v>
      </c>
      <c r="O8" s="119">
        <f t="shared" si="3"/>
        <v>20</v>
      </c>
      <c r="P8" s="120">
        <f t="shared" si="4"/>
        <v>0</v>
      </c>
    </row>
    <row r="9" spans="1:18" ht="18">
      <c r="A9" s="112" t="s">
        <v>120</v>
      </c>
      <c r="B9" s="112" t="s">
        <v>155</v>
      </c>
      <c r="C9" s="113">
        <v>2</v>
      </c>
      <c r="D9" s="113">
        <v>6</v>
      </c>
      <c r="E9" s="113" t="s">
        <v>135</v>
      </c>
      <c r="F9" s="112">
        <v>40</v>
      </c>
      <c r="G9" s="114">
        <v>6000</v>
      </c>
      <c r="H9" s="115">
        <f t="shared" si="0"/>
        <v>1.348314606741573</v>
      </c>
      <c r="I9" s="114">
        <f t="shared" si="1"/>
        <v>240000</v>
      </c>
      <c r="J9" s="115">
        <f t="shared" si="2"/>
        <v>53.932584269662918</v>
      </c>
      <c r="O9" s="119">
        <f t="shared" si="3"/>
        <v>40</v>
      </c>
      <c r="P9" s="120">
        <f t="shared" si="4"/>
        <v>0</v>
      </c>
    </row>
    <row r="10" spans="1:18" ht="18">
      <c r="A10" s="112" t="s">
        <v>124</v>
      </c>
      <c r="B10" s="112" t="s">
        <v>155</v>
      </c>
      <c r="C10" s="113">
        <v>3</v>
      </c>
      <c r="D10" s="113">
        <v>8</v>
      </c>
      <c r="E10" s="113" t="s">
        <v>137</v>
      </c>
      <c r="F10" s="112">
        <v>15</v>
      </c>
      <c r="G10" s="114">
        <v>170000</v>
      </c>
      <c r="H10" s="115">
        <f t="shared" si="0"/>
        <v>38.202247191011239</v>
      </c>
      <c r="I10" s="114">
        <f t="shared" si="1"/>
        <v>2550000</v>
      </c>
      <c r="J10" s="115">
        <f t="shared" si="2"/>
        <v>573.03370786516859</v>
      </c>
      <c r="O10" s="119">
        <f t="shared" si="3"/>
        <v>45</v>
      </c>
      <c r="P10" s="120">
        <f t="shared" si="4"/>
        <v>-30</v>
      </c>
    </row>
    <row r="11" spans="1:18" ht="18">
      <c r="A11" s="112" t="s">
        <v>151</v>
      </c>
      <c r="B11" s="112" t="s">
        <v>155</v>
      </c>
      <c r="C11" s="113">
        <v>2</v>
      </c>
      <c r="D11" s="113">
        <v>8</v>
      </c>
      <c r="E11" s="113"/>
      <c r="F11" s="112">
        <v>40</v>
      </c>
      <c r="G11" s="114">
        <v>35000</v>
      </c>
      <c r="H11" s="115">
        <f t="shared" si="0"/>
        <v>7.8651685393258424</v>
      </c>
      <c r="I11" s="114">
        <f t="shared" si="1"/>
        <v>1400000</v>
      </c>
      <c r="J11" s="115">
        <f t="shared" si="2"/>
        <v>314.60674157303373</v>
      </c>
      <c r="O11" s="119">
        <f t="shared" si="3"/>
        <v>30</v>
      </c>
      <c r="P11" s="120">
        <f t="shared" si="4"/>
        <v>10</v>
      </c>
    </row>
    <row r="12" spans="1:18" ht="18">
      <c r="A12" s="112" t="s">
        <v>148</v>
      </c>
      <c r="B12" s="112" t="s">
        <v>155</v>
      </c>
      <c r="C12" s="113">
        <v>8</v>
      </c>
      <c r="D12" s="113">
        <v>8</v>
      </c>
      <c r="E12" s="113"/>
      <c r="F12" s="112">
        <v>100</v>
      </c>
      <c r="G12" s="114">
        <v>5000</v>
      </c>
      <c r="H12" s="115">
        <f t="shared" si="0"/>
        <v>1.1235955056179776</v>
      </c>
      <c r="I12" s="114">
        <f t="shared" si="1"/>
        <v>500000</v>
      </c>
      <c r="J12" s="115">
        <f t="shared" si="2"/>
        <v>112.35955056179775</v>
      </c>
      <c r="O12" s="119">
        <f t="shared" si="3"/>
        <v>120</v>
      </c>
      <c r="P12" s="120">
        <f t="shared" si="4"/>
        <v>-20</v>
      </c>
    </row>
    <row r="13" spans="1:18" ht="18">
      <c r="A13" s="112" t="s">
        <v>153</v>
      </c>
      <c r="B13" s="112" t="s">
        <v>142</v>
      </c>
      <c r="C13" s="113">
        <v>1</v>
      </c>
      <c r="D13" s="113">
        <v>12</v>
      </c>
      <c r="E13" s="113"/>
      <c r="F13" s="112">
        <v>5</v>
      </c>
      <c r="G13" s="114">
        <v>250000</v>
      </c>
      <c r="H13" s="115">
        <f t="shared" si="0"/>
        <v>56.179775280898873</v>
      </c>
      <c r="I13" s="114">
        <f t="shared" si="1"/>
        <v>1250000</v>
      </c>
      <c r="J13" s="115">
        <f t="shared" si="2"/>
        <v>280.89887640449439</v>
      </c>
      <c r="O13" s="119">
        <f t="shared" si="3"/>
        <v>10</v>
      </c>
      <c r="P13" s="120">
        <f t="shared" si="4"/>
        <v>-5</v>
      </c>
    </row>
    <row r="14" spans="1:18" ht="18">
      <c r="A14" s="112" t="s">
        <v>125</v>
      </c>
      <c r="B14" s="112" t="s">
        <v>155</v>
      </c>
      <c r="C14" s="113">
        <v>1</v>
      </c>
      <c r="D14" s="113">
        <v>12</v>
      </c>
      <c r="E14" s="113"/>
      <c r="F14" s="112">
        <v>2</v>
      </c>
      <c r="G14" s="114">
        <v>500000</v>
      </c>
      <c r="H14" s="115">
        <f t="shared" si="0"/>
        <v>112.35955056179775</v>
      </c>
      <c r="I14" s="114">
        <f t="shared" si="1"/>
        <v>1000000</v>
      </c>
      <c r="J14" s="115">
        <f t="shared" si="2"/>
        <v>224.71910112359549</v>
      </c>
      <c r="O14" s="119">
        <f t="shared" si="3"/>
        <v>10</v>
      </c>
      <c r="P14" s="120">
        <f t="shared" si="4"/>
        <v>-8</v>
      </c>
    </row>
    <row r="15" spans="1:18" ht="18">
      <c r="A15" s="112" t="s">
        <v>154</v>
      </c>
      <c r="B15" s="112" t="s">
        <v>142</v>
      </c>
      <c r="C15" s="113">
        <v>1</v>
      </c>
      <c r="D15" s="113">
        <v>12</v>
      </c>
      <c r="E15" s="113"/>
      <c r="F15" s="112">
        <v>5</v>
      </c>
      <c r="G15" s="114">
        <v>160000</v>
      </c>
      <c r="H15" s="115">
        <f t="shared" si="0"/>
        <v>35.955056179775283</v>
      </c>
      <c r="I15" s="114">
        <f t="shared" si="1"/>
        <v>800000</v>
      </c>
      <c r="J15" s="115">
        <f t="shared" si="2"/>
        <v>179.77528089887642</v>
      </c>
      <c r="O15" s="119">
        <f t="shared" si="3"/>
        <v>10</v>
      </c>
      <c r="P15" s="120">
        <f t="shared" si="4"/>
        <v>-5</v>
      </c>
    </row>
    <row r="16" spans="1:18" ht="18">
      <c r="A16" s="112" t="s">
        <v>128</v>
      </c>
      <c r="B16" s="112" t="s">
        <v>155</v>
      </c>
      <c r="C16" s="113">
        <v>2</v>
      </c>
      <c r="D16" s="113">
        <v>12</v>
      </c>
      <c r="E16" s="113"/>
      <c r="F16" s="112">
        <v>5</v>
      </c>
      <c r="G16" s="114">
        <v>150000</v>
      </c>
      <c r="H16" s="115">
        <f t="shared" si="0"/>
        <v>33.707865168539328</v>
      </c>
      <c r="I16" s="114">
        <f t="shared" si="1"/>
        <v>750000</v>
      </c>
      <c r="J16" s="115">
        <f t="shared" si="2"/>
        <v>168.53932584269663</v>
      </c>
      <c r="O16" s="119">
        <f t="shared" si="3"/>
        <v>20</v>
      </c>
      <c r="P16" s="120">
        <f t="shared" si="4"/>
        <v>-15</v>
      </c>
    </row>
    <row r="17" spans="1:16" ht="18">
      <c r="A17" s="112" t="s">
        <v>129</v>
      </c>
      <c r="B17" s="112" t="s">
        <v>155</v>
      </c>
      <c r="C17" s="113">
        <v>2</v>
      </c>
      <c r="D17" s="113">
        <v>12</v>
      </c>
      <c r="E17" s="113"/>
      <c r="F17" s="112">
        <v>5</v>
      </c>
      <c r="G17" s="114">
        <v>80000</v>
      </c>
      <c r="H17" s="115">
        <f t="shared" si="0"/>
        <v>17.977528089887642</v>
      </c>
      <c r="I17" s="114">
        <f t="shared" si="1"/>
        <v>400000</v>
      </c>
      <c r="J17" s="115">
        <f t="shared" si="2"/>
        <v>89.887640449438209</v>
      </c>
      <c r="O17" s="119">
        <f t="shared" si="3"/>
        <v>20</v>
      </c>
      <c r="P17" s="120">
        <f t="shared" si="4"/>
        <v>-15</v>
      </c>
    </row>
    <row r="18" spans="1:16" ht="18">
      <c r="A18" s="112" t="s">
        <v>152</v>
      </c>
      <c r="B18" s="112" t="s">
        <v>142</v>
      </c>
      <c r="C18" s="113">
        <v>1</v>
      </c>
      <c r="D18" s="113">
        <v>18</v>
      </c>
      <c r="E18" s="113"/>
      <c r="F18" s="112">
        <v>10</v>
      </c>
      <c r="G18" s="114">
        <v>70000</v>
      </c>
      <c r="H18" s="115">
        <f t="shared" si="0"/>
        <v>15.730337078651685</v>
      </c>
      <c r="I18" s="114">
        <f t="shared" si="1"/>
        <v>700000</v>
      </c>
      <c r="J18" s="115">
        <f t="shared" si="2"/>
        <v>157.30337078651687</v>
      </c>
      <c r="O18" s="119">
        <f t="shared" si="3"/>
        <v>6.6666666666666661</v>
      </c>
      <c r="P18" s="120">
        <f t="shared" si="4"/>
        <v>3.3333333333333339</v>
      </c>
    </row>
    <row r="19" spans="1:16" ht="18">
      <c r="A19" s="112" t="s">
        <v>126</v>
      </c>
      <c r="B19" s="112" t="s">
        <v>155</v>
      </c>
      <c r="C19" s="113">
        <v>1</v>
      </c>
      <c r="D19" s="113">
        <v>18</v>
      </c>
      <c r="E19" s="113"/>
      <c r="F19" s="112">
        <v>2</v>
      </c>
      <c r="G19" s="114">
        <v>300000</v>
      </c>
      <c r="H19" s="115">
        <f t="shared" si="0"/>
        <v>67.415730337078656</v>
      </c>
      <c r="I19" s="114">
        <f t="shared" si="1"/>
        <v>600000</v>
      </c>
      <c r="J19" s="115">
        <f t="shared" si="2"/>
        <v>134.83146067415731</v>
      </c>
      <c r="O19" s="119">
        <f t="shared" si="3"/>
        <v>6.6666666666666661</v>
      </c>
      <c r="P19" s="120">
        <f t="shared" si="4"/>
        <v>-4.6666666666666661</v>
      </c>
    </row>
    <row r="20" spans="1:16" ht="18">
      <c r="A20" s="112" t="s">
        <v>132</v>
      </c>
      <c r="B20" s="112" t="s">
        <v>155</v>
      </c>
      <c r="C20" s="113">
        <v>1</v>
      </c>
      <c r="D20" s="113">
        <v>18</v>
      </c>
      <c r="E20" s="113"/>
      <c r="F20" s="112">
        <v>5</v>
      </c>
      <c r="G20" s="114">
        <v>22000</v>
      </c>
      <c r="H20" s="115">
        <f t="shared" si="0"/>
        <v>4.9438202247191008</v>
      </c>
      <c r="I20" s="114">
        <f t="shared" si="1"/>
        <v>110000</v>
      </c>
      <c r="J20" s="115">
        <f t="shared" si="2"/>
        <v>24.719101123595507</v>
      </c>
      <c r="O20" s="119">
        <f t="shared" si="3"/>
        <v>6.6666666666666661</v>
      </c>
      <c r="P20" s="120">
        <f t="shared" si="4"/>
        <v>-1.6666666666666661</v>
      </c>
    </row>
    <row r="21" spans="1:16" ht="18">
      <c r="A21" s="112" t="s">
        <v>150</v>
      </c>
      <c r="B21" s="112" t="s">
        <v>142</v>
      </c>
      <c r="C21" s="113">
        <v>1</v>
      </c>
      <c r="D21" s="113">
        <v>18</v>
      </c>
      <c r="E21" s="113"/>
      <c r="F21" s="112">
        <v>5</v>
      </c>
      <c r="G21" s="114">
        <v>30000</v>
      </c>
      <c r="H21" s="115">
        <f t="shared" si="0"/>
        <v>6.7415730337078648</v>
      </c>
      <c r="I21" s="114">
        <f t="shared" si="1"/>
        <v>150000</v>
      </c>
      <c r="J21" s="115">
        <f t="shared" si="2"/>
        <v>33.707865168539328</v>
      </c>
      <c r="O21" s="119">
        <f t="shared" si="3"/>
        <v>6.6666666666666661</v>
      </c>
      <c r="P21" s="120">
        <f t="shared" si="4"/>
        <v>-1.6666666666666661</v>
      </c>
    </row>
    <row r="22" spans="1:16" ht="18">
      <c r="A22" s="112" t="s">
        <v>147</v>
      </c>
      <c r="B22" s="112" t="s">
        <v>155</v>
      </c>
      <c r="C22" s="113">
        <v>1</v>
      </c>
      <c r="D22" s="113">
        <v>18</v>
      </c>
      <c r="E22" s="113"/>
      <c r="F22" s="112">
        <v>5</v>
      </c>
      <c r="G22" s="114">
        <v>60000</v>
      </c>
      <c r="H22" s="115">
        <f t="shared" si="0"/>
        <v>13.48314606741573</v>
      </c>
      <c r="I22" s="114">
        <f t="shared" si="1"/>
        <v>300000</v>
      </c>
      <c r="J22" s="115">
        <f t="shared" si="2"/>
        <v>67.415730337078656</v>
      </c>
      <c r="O22" s="119">
        <f t="shared" si="3"/>
        <v>6.6666666666666661</v>
      </c>
      <c r="P22" s="120">
        <f t="shared" si="4"/>
        <v>-1.6666666666666661</v>
      </c>
    </row>
    <row r="23" spans="1:16" ht="18">
      <c r="A23" s="112" t="s">
        <v>133</v>
      </c>
      <c r="B23" s="112" t="s">
        <v>155</v>
      </c>
      <c r="C23" s="113">
        <v>2</v>
      </c>
      <c r="D23" s="113">
        <v>18</v>
      </c>
      <c r="E23" s="113"/>
      <c r="F23" s="112">
        <v>20</v>
      </c>
      <c r="G23" s="114">
        <v>12000</v>
      </c>
      <c r="H23" s="115">
        <f t="shared" si="0"/>
        <v>2.696629213483146</v>
      </c>
      <c r="I23" s="114">
        <f t="shared" si="1"/>
        <v>240000</v>
      </c>
      <c r="J23" s="115">
        <f t="shared" si="2"/>
        <v>53.932584269662918</v>
      </c>
      <c r="O23" s="119">
        <f t="shared" si="3"/>
        <v>13.333333333333332</v>
      </c>
      <c r="P23" s="120">
        <f t="shared" si="4"/>
        <v>6.6666666666666679</v>
      </c>
    </row>
    <row r="24" spans="1:16" ht="18">
      <c r="A24" s="112" t="s">
        <v>131</v>
      </c>
      <c r="B24" s="112" t="s">
        <v>155</v>
      </c>
      <c r="C24" s="113">
        <v>1</v>
      </c>
      <c r="D24" s="113">
        <v>24</v>
      </c>
      <c r="E24" s="113"/>
      <c r="F24" s="112">
        <v>2</v>
      </c>
      <c r="G24" s="114">
        <v>700000</v>
      </c>
      <c r="H24" s="115">
        <f t="shared" si="0"/>
        <v>157.30337078651687</v>
      </c>
      <c r="I24" s="114">
        <f t="shared" si="1"/>
        <v>1400000</v>
      </c>
      <c r="J24" s="115">
        <f t="shared" si="2"/>
        <v>314.60674157303373</v>
      </c>
      <c r="O24" s="119">
        <f t="shared" si="3"/>
        <v>5</v>
      </c>
      <c r="P24" s="120">
        <f t="shared" si="4"/>
        <v>-3</v>
      </c>
    </row>
    <row r="25" spans="1:16" ht="18">
      <c r="A25" s="112" t="s">
        <v>127</v>
      </c>
      <c r="B25" s="112" t="s">
        <v>155</v>
      </c>
      <c r="C25" s="113">
        <v>2</v>
      </c>
      <c r="D25" s="113">
        <v>24</v>
      </c>
      <c r="E25" s="113"/>
      <c r="F25" s="112">
        <v>5</v>
      </c>
      <c r="G25" s="114">
        <v>100000</v>
      </c>
      <c r="H25" s="115">
        <f t="shared" si="0"/>
        <v>22.471910112359552</v>
      </c>
      <c r="I25" s="114">
        <f t="shared" si="1"/>
        <v>500000</v>
      </c>
      <c r="J25" s="115">
        <f t="shared" si="2"/>
        <v>112.35955056179775</v>
      </c>
      <c r="O25" s="119">
        <f t="shared" si="3"/>
        <v>10</v>
      </c>
      <c r="P25" s="120">
        <f t="shared" si="4"/>
        <v>-5</v>
      </c>
    </row>
    <row r="26" spans="1:16" ht="18">
      <c r="A26" s="112" t="s">
        <v>146</v>
      </c>
      <c r="B26" s="112" t="s">
        <v>155</v>
      </c>
      <c r="C26" s="113">
        <v>1</v>
      </c>
      <c r="D26" s="113">
        <v>24</v>
      </c>
      <c r="E26" s="113"/>
      <c r="F26" s="112">
        <v>5</v>
      </c>
      <c r="G26" s="114">
        <v>50000</v>
      </c>
      <c r="H26" s="115">
        <f t="shared" si="0"/>
        <v>11.235955056179776</v>
      </c>
      <c r="I26" s="114">
        <f t="shared" si="1"/>
        <v>250000</v>
      </c>
      <c r="J26" s="115">
        <f t="shared" si="2"/>
        <v>56.179775280898873</v>
      </c>
      <c r="O26" s="119">
        <f t="shared" si="3"/>
        <v>5</v>
      </c>
      <c r="P26" s="120">
        <f t="shared" si="4"/>
        <v>0</v>
      </c>
    </row>
    <row r="27" spans="1:16" ht="18">
      <c r="A27" s="112" t="s">
        <v>130</v>
      </c>
      <c r="B27" s="112" t="s">
        <v>155</v>
      </c>
      <c r="C27" s="113">
        <v>1</v>
      </c>
      <c r="D27" s="113">
        <v>48</v>
      </c>
      <c r="E27" s="113"/>
      <c r="F27" s="112"/>
      <c r="G27" s="114">
        <v>1200000</v>
      </c>
      <c r="H27" s="115">
        <f t="shared" si="0"/>
        <v>269.66292134831463</v>
      </c>
      <c r="I27" s="114">
        <f t="shared" si="1"/>
        <v>0</v>
      </c>
      <c r="J27" s="115">
        <f t="shared" si="2"/>
        <v>0</v>
      </c>
      <c r="O27" s="119">
        <f t="shared" si="3"/>
        <v>2.5</v>
      </c>
      <c r="P27" s="120">
        <f t="shared" si="4"/>
        <v>-2.5</v>
      </c>
    </row>
    <row r="28" spans="1:16">
      <c r="A28" s="107"/>
      <c r="B28" s="107"/>
      <c r="C28" s="101"/>
      <c r="D28" s="101"/>
      <c r="E28" s="101"/>
      <c r="F28" s="107"/>
      <c r="G28" s="104"/>
      <c r="H28" s="107"/>
      <c r="I28" s="107"/>
      <c r="J28" s="107"/>
    </row>
    <row r="29" spans="1:16" ht="23.4">
      <c r="A29" s="207" t="s">
        <v>14</v>
      </c>
      <c r="B29" s="208"/>
      <c r="C29" s="208"/>
      <c r="D29" s="208"/>
      <c r="E29" s="208"/>
      <c r="F29" s="208"/>
      <c r="G29" s="208"/>
      <c r="H29" s="209"/>
      <c r="I29" s="108">
        <f>SUM(I3:I28)</f>
        <v>18460000</v>
      </c>
      <c r="J29" s="109">
        <f>SUM(J3:J28)</f>
        <v>4148.3146067415728</v>
      </c>
    </row>
  </sheetData>
  <autoFilter ref="A2:J27" xr:uid="{B18D15BB-27E5-C84C-BB26-81A0EE245D0C}">
    <sortState xmlns:xlrd2="http://schemas.microsoft.com/office/spreadsheetml/2017/richdata2" ref="A3:J27">
      <sortCondition ref="D2:D27"/>
    </sortState>
  </autoFilter>
  <mergeCells count="2">
    <mergeCell ref="A29:H29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Lancement</vt:lpstr>
      <vt:lpstr>Crédit Banque</vt:lpstr>
      <vt:lpstr>Fonctionnement E6</vt:lpstr>
      <vt:lpstr>Amorttissement</vt:lpstr>
      <vt:lpstr>Simulation BARRY E7</vt:lpstr>
      <vt:lpstr>Pièces de rechange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FREDERIQUE</cp:lastModifiedBy>
  <cp:lastPrinted>2025-11-17T21:54:41Z</cp:lastPrinted>
  <dcterms:created xsi:type="dcterms:W3CDTF">2025-10-01T09:01:48Z</dcterms:created>
  <dcterms:modified xsi:type="dcterms:W3CDTF">2025-11-18T05:35:57Z</dcterms:modified>
</cp:coreProperties>
</file>
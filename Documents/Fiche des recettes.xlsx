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gishomushobekwa/Documents/PRIVATE MUGS/Projet - TUC TUC - Financement BRED MADA - Mugisho MUSHOBEKWA/"/>
    </mc:Choice>
  </mc:AlternateContent>
  <xr:revisionPtr revIDLastSave="0" documentId="13_ncr:1_{4A8712F0-B310-DF40-BDD6-2349B650F615}" xr6:coauthVersionLast="47" xr6:coauthVersionMax="47" xr10:uidLastSave="{00000000-0000-0000-0000-000000000000}"/>
  <bookViews>
    <workbookView xWindow="0" yWindow="620" windowWidth="28800" windowHeight="16280" activeTab="1" xr2:uid="{A335DFA4-4124-F74C-9640-4171539EFF9B}"/>
  </bookViews>
  <sheets>
    <sheet name="GLOBAL" sheetId="31" r:id="rId1"/>
    <sheet name="V1" sheetId="1" r:id="rId2"/>
    <sheet name="V2" sheetId="2" r:id="rId3"/>
    <sheet name="V3" sheetId="13" r:id="rId4"/>
    <sheet name="V4" sheetId="14" r:id="rId5"/>
    <sheet name="V5" sheetId="15" r:id="rId6"/>
    <sheet name="V6" sheetId="16" r:id="rId7"/>
    <sheet name="V7" sheetId="17" r:id="rId8"/>
    <sheet name="V8" sheetId="18" r:id="rId9"/>
    <sheet name="V9" sheetId="19" r:id="rId10"/>
    <sheet name="V10" sheetId="20" r:id="rId11"/>
    <sheet name="V11" sheetId="21" r:id="rId12"/>
    <sheet name="V12" sheetId="22" r:id="rId13"/>
    <sheet name="V13" sheetId="23" r:id="rId14"/>
    <sheet name="V14" sheetId="24" r:id="rId15"/>
    <sheet name="V15" sheetId="25" r:id="rId16"/>
    <sheet name="V16" sheetId="26" r:id="rId17"/>
    <sheet name="V17" sheetId="27" r:id="rId18"/>
    <sheet name="V18" sheetId="28" r:id="rId19"/>
    <sheet name="V19" sheetId="29" r:id="rId20"/>
    <sheet name="V20" sheetId="30" r:id="rId21"/>
    <sheet name="V21" sheetId="3" r:id="rId22"/>
    <sheet name="V22" sheetId="4" r:id="rId23"/>
    <sheet name="V23" sheetId="5" r:id="rId24"/>
    <sheet name="V24" sheetId="6" r:id="rId25"/>
    <sheet name="V25" sheetId="7" r:id="rId26"/>
    <sheet name="V26" sheetId="8" r:id="rId27"/>
    <sheet name="V27" sheetId="9" r:id="rId28"/>
    <sheet name="V28" sheetId="10" r:id="rId29"/>
    <sheet name="V29" sheetId="11" r:id="rId30"/>
    <sheet name="V30" sheetId="1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1" i="10"/>
  <c r="E12" i="10"/>
  <c r="E13" i="10"/>
  <c r="E14" i="10"/>
  <c r="E15" i="10"/>
  <c r="E16" i="10"/>
  <c r="E8" i="10" s="1"/>
  <c r="E31" i="31" s="1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0" i="2"/>
  <c r="E10" i="13"/>
  <c r="E10" i="14"/>
  <c r="E10" i="15"/>
  <c r="E10" i="16"/>
  <c r="E10" i="17"/>
  <c r="E8" i="17" s="1"/>
  <c r="E10" i="31" s="1"/>
  <c r="E10" i="18"/>
  <c r="E8" i="18" s="1"/>
  <c r="E11" i="31" s="1"/>
  <c r="E10" i="19"/>
  <c r="E10" i="20"/>
  <c r="E10" i="21"/>
  <c r="E10" i="22"/>
  <c r="E10" i="23"/>
  <c r="E10" i="24"/>
  <c r="E10" i="25"/>
  <c r="E10" i="26"/>
  <c r="E10" i="27"/>
  <c r="E10" i="28"/>
  <c r="E10" i="29"/>
  <c r="E10" i="30"/>
  <c r="E10" i="3"/>
  <c r="E10" i="4"/>
  <c r="E10" i="5"/>
  <c r="E10" i="6"/>
  <c r="E10" i="7"/>
  <c r="E10" i="8"/>
  <c r="E10" i="9"/>
  <c r="E10" i="10"/>
  <c r="E10" i="11"/>
  <c r="E10" i="12"/>
  <c r="E10" i="1"/>
  <c r="E9" i="2"/>
  <c r="E9" i="13"/>
  <c r="E9" i="14"/>
  <c r="E9" i="15"/>
  <c r="E9" i="16"/>
  <c r="E9" i="17"/>
  <c r="E9" i="18"/>
  <c r="E9" i="19"/>
  <c r="E9" i="20"/>
  <c r="E9" i="21"/>
  <c r="E9" i="22"/>
  <c r="E9" i="23"/>
  <c r="E9" i="24"/>
  <c r="E9" i="25"/>
  <c r="E9" i="26"/>
  <c r="E9" i="27"/>
  <c r="E9" i="28"/>
  <c r="E9" i="29"/>
  <c r="E9" i="30"/>
  <c r="E9" i="3"/>
  <c r="E9" i="4"/>
  <c r="E9" i="5"/>
  <c r="E9" i="6"/>
  <c r="E9" i="7"/>
  <c r="E9" i="8"/>
  <c r="E9" i="9"/>
  <c r="E9" i="10"/>
  <c r="E9" i="11"/>
  <c r="E9" i="12"/>
  <c r="E9" i="1"/>
  <c r="E8" i="28"/>
  <c r="E21" i="31" s="1"/>
  <c r="E8" i="29"/>
  <c r="E22" i="31" s="1"/>
  <c r="E8" i="14"/>
  <c r="E7" i="31" s="1"/>
  <c r="E8" i="21"/>
  <c r="E14" i="31" s="1"/>
  <c r="E8" i="22"/>
  <c r="E15" i="31" s="1"/>
  <c r="E8" i="20"/>
  <c r="E13" i="31" s="1"/>
  <c r="E8" i="25"/>
  <c r="E18" i="31" s="1"/>
  <c r="E8" i="26"/>
  <c r="E19" i="31" s="1"/>
  <c r="E8" i="2"/>
  <c r="E5" i="31" s="1"/>
  <c r="E8" i="13"/>
  <c r="E6" i="31" s="1"/>
  <c r="E8" i="19"/>
  <c r="E12" i="31" s="1"/>
  <c r="E8" i="30"/>
  <c r="E23" i="31" s="1"/>
  <c r="E8" i="7"/>
  <c r="E28" i="31" s="1"/>
  <c r="D8" i="2"/>
  <c r="D5" i="31" s="1"/>
  <c r="D8" i="13"/>
  <c r="D6" i="31" s="1"/>
  <c r="D8" i="14"/>
  <c r="D8" i="15"/>
  <c r="D8" i="31" s="1"/>
  <c r="D8" i="16"/>
  <c r="D9" i="31" s="1"/>
  <c r="D8" i="17"/>
  <c r="D10" i="31" s="1"/>
  <c r="D8" i="18"/>
  <c r="D11" i="31" s="1"/>
  <c r="D8" i="19"/>
  <c r="D12" i="31" s="1"/>
  <c r="D8" i="20"/>
  <c r="D13" i="31" s="1"/>
  <c r="D8" i="21"/>
  <c r="D14" i="31" s="1"/>
  <c r="D8" i="22"/>
  <c r="D15" i="31" s="1"/>
  <c r="D8" i="23"/>
  <c r="D16" i="31" s="1"/>
  <c r="D8" i="24"/>
  <c r="D17" i="31" s="1"/>
  <c r="D8" i="25"/>
  <c r="D18" i="31" s="1"/>
  <c r="D8" i="26"/>
  <c r="D19" i="31" s="1"/>
  <c r="D8" i="27"/>
  <c r="D20" i="31" s="1"/>
  <c r="D8" i="28"/>
  <c r="D21" i="31" s="1"/>
  <c r="D8" i="29"/>
  <c r="D22" i="31" s="1"/>
  <c r="D8" i="30"/>
  <c r="D23" i="31" s="1"/>
  <c r="D8" i="3"/>
  <c r="D24" i="31" s="1"/>
  <c r="D8" i="4"/>
  <c r="D25" i="31" s="1"/>
  <c r="D8" i="5"/>
  <c r="D26" i="31" s="1"/>
  <c r="D8" i="6"/>
  <c r="D27" i="31" s="1"/>
  <c r="D8" i="7"/>
  <c r="D28" i="31" s="1"/>
  <c r="D8" i="8"/>
  <c r="D29" i="31" s="1"/>
  <c r="D8" i="9"/>
  <c r="D8" i="10"/>
  <c r="D8" i="11"/>
  <c r="D32" i="31" s="1"/>
  <c r="D8" i="12"/>
  <c r="D33" i="31" s="1"/>
  <c r="D8" i="1"/>
  <c r="D4" i="31" s="1"/>
  <c r="C8" i="2"/>
  <c r="C8" i="13"/>
  <c r="C8" i="14"/>
  <c r="C8" i="15"/>
  <c r="C8" i="31" s="1"/>
  <c r="C8" i="16"/>
  <c r="C9" i="31" s="1"/>
  <c r="C8" i="17"/>
  <c r="C8" i="18"/>
  <c r="C8" i="19"/>
  <c r="C12" i="31" s="1"/>
  <c r="C8" i="20"/>
  <c r="C8" i="21"/>
  <c r="C14" i="31" s="1"/>
  <c r="C8" i="22"/>
  <c r="C8" i="23"/>
  <c r="C8" i="24"/>
  <c r="C8" i="25"/>
  <c r="C8" i="26"/>
  <c r="C19" i="31" s="1"/>
  <c r="C8" i="27"/>
  <c r="C20" i="31" s="1"/>
  <c r="C8" i="28"/>
  <c r="C8" i="29"/>
  <c r="C8" i="30"/>
  <c r="C8" i="3"/>
  <c r="C24" i="31" s="1"/>
  <c r="C8" i="4"/>
  <c r="C8" i="5"/>
  <c r="C8" i="6"/>
  <c r="C8" i="7"/>
  <c r="C28" i="31" s="1"/>
  <c r="C8" i="8"/>
  <c r="C8" i="9"/>
  <c r="C8" i="10"/>
  <c r="C31" i="31" s="1"/>
  <c r="C8" i="11"/>
  <c r="C8" i="12"/>
  <c r="C8" i="1"/>
  <c r="C4" i="31" s="1"/>
  <c r="C32" i="31"/>
  <c r="C30" i="31"/>
  <c r="C29" i="31"/>
  <c r="C27" i="31"/>
  <c r="C23" i="31"/>
  <c r="C22" i="31"/>
  <c r="C21" i="31"/>
  <c r="C16" i="31"/>
  <c r="C15" i="31"/>
  <c r="C13" i="31"/>
  <c r="C10" i="31"/>
  <c r="C6" i="31"/>
  <c r="C5" i="31"/>
  <c r="D30" i="31"/>
  <c r="D7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7" i="31"/>
  <c r="A8" i="31"/>
  <c r="A6" i="31"/>
  <c r="A5" i="31"/>
  <c r="A4" i="31"/>
  <c r="E1" i="31"/>
  <c r="C7" i="31"/>
  <c r="C11" i="31"/>
  <c r="C17" i="31"/>
  <c r="C18" i="31"/>
  <c r="C25" i="31"/>
  <c r="C26" i="31"/>
  <c r="D31" i="31"/>
  <c r="C33" i="31"/>
  <c r="E8" i="5" l="1"/>
  <c r="E26" i="31" s="1"/>
  <c r="E8" i="27"/>
  <c r="E20" i="31" s="1"/>
  <c r="E8" i="9"/>
  <c r="E30" i="31" s="1"/>
  <c r="F30" i="31" s="1"/>
  <c r="E8" i="24"/>
  <c r="E17" i="31" s="1"/>
  <c r="F17" i="31" s="1"/>
  <c r="E8" i="16"/>
  <c r="E9" i="31" s="1"/>
  <c r="F9" i="31" s="1"/>
  <c r="E8" i="8"/>
  <c r="E29" i="31" s="1"/>
  <c r="F29" i="31" s="1"/>
  <c r="E8" i="6"/>
  <c r="E27" i="31" s="1"/>
  <c r="F27" i="31" s="1"/>
  <c r="E8" i="1"/>
  <c r="E4" i="31" s="1"/>
  <c r="F4" i="31" s="1"/>
  <c r="E8" i="12"/>
  <c r="E33" i="31" s="1"/>
  <c r="F33" i="31" s="1"/>
  <c r="E8" i="4"/>
  <c r="E25" i="31" s="1"/>
  <c r="F25" i="31" s="1"/>
  <c r="E8" i="11"/>
  <c r="E32" i="31" s="1"/>
  <c r="F32" i="31" s="1"/>
  <c r="E8" i="3"/>
  <c r="E24" i="31" s="1"/>
  <c r="F24" i="31" s="1"/>
  <c r="E8" i="23"/>
  <c r="E16" i="31" s="1"/>
  <c r="F16" i="31" s="1"/>
  <c r="E8" i="15"/>
  <c r="E8" i="31" s="1"/>
  <c r="F15" i="31"/>
  <c r="F7" i="31"/>
  <c r="F12" i="31"/>
  <c r="F28" i="31"/>
  <c r="F20" i="31"/>
  <c r="F11" i="31"/>
  <c r="F22" i="31"/>
  <c r="F23" i="31"/>
  <c r="F6" i="31"/>
  <c r="F31" i="31"/>
  <c r="F19" i="31"/>
  <c r="F14" i="31"/>
  <c r="F21" i="31"/>
  <c r="F13" i="31"/>
  <c r="F5" i="31"/>
  <c r="F26" i="31"/>
  <c r="F18" i="31"/>
  <c r="F10" i="31"/>
  <c r="C3" i="31"/>
  <c r="D3" i="31"/>
  <c r="E3" i="31" l="1"/>
  <c r="F8" i="31"/>
  <c r="F3" i="31" s="1"/>
</calcChain>
</file>

<file path=xl/sharedStrings.xml><?xml version="1.0" encoding="utf-8"?>
<sst xmlns="http://schemas.openxmlformats.org/spreadsheetml/2006/main" count="4671" uniqueCount="102">
  <si>
    <t>Date</t>
  </si>
  <si>
    <t>Observation</t>
  </si>
  <si>
    <t>Plaque Du Tuc Tuc :</t>
  </si>
  <si>
    <t>Code dt Tuc Tuc :</t>
  </si>
  <si>
    <t>Date de 1ère mise en circulation :</t>
  </si>
  <si>
    <t>Numéro de téléphone :</t>
  </si>
  <si>
    <t>Nom du chauffeur  :</t>
  </si>
  <si>
    <t>V11</t>
  </si>
  <si>
    <t>Plaque</t>
  </si>
  <si>
    <t>Code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</si>
  <si>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</si>
  <si>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</si>
  <si>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</si>
  <si>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</si>
  <si>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</si>
  <si>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</si>
  <si>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</si>
  <si>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</si>
  <si>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</si>
  <si>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</si>
  <si>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</si>
  <si>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</si>
  <si>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</si>
  <si>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</si>
  <si>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</si>
  <si>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</si>
  <si>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</si>
  <si>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</si>
  <si>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</si>
  <si>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</si>
  <si>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</si>
  <si>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</si>
  <si>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</si>
  <si>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</si>
  <si>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</si>
  <si>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</si>
  <si>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</si>
  <si>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</si>
  <si>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</si>
  <si>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Retour au GLOBAL</t>
  </si>
  <si>
    <t>TOTAL</t>
  </si>
  <si>
    <t>Total Versé</t>
  </si>
  <si>
    <t>Objectif à Atteindre</t>
  </si>
  <si>
    <t>Ecart</t>
  </si>
  <si>
    <t xml:space="preserve">SYNOPTIQUE DES RECETTES EN DATE DU </t>
  </si>
  <si>
    <t>Montant Versé</t>
  </si>
  <si>
    <t>Semaine</t>
  </si>
  <si>
    <t>Montant Dû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</si>
  <si>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</si>
  <si>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</si>
  <si>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</si>
  <si>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</si>
  <si>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</si>
  <si>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</si>
  <si>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</si>
  <si>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</si>
  <si>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</si>
  <si>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Semaine 53</t>
  </si>
  <si>
    <t>Semaine 54</t>
  </si>
  <si>
    <t>Semaine 01</t>
  </si>
  <si>
    <t>Semaine 02</t>
  </si>
  <si>
    <t>Semaine 03</t>
  </si>
  <si>
    <t>Semaine 04</t>
  </si>
  <si>
    <t>Semaine 05</t>
  </si>
  <si>
    <t>Semaine 06</t>
  </si>
  <si>
    <t>Semaine 07</t>
  </si>
  <si>
    <t>Semaine 08</t>
  </si>
  <si>
    <t>Semaine 09</t>
  </si>
  <si>
    <t>Semaine 10</t>
  </si>
  <si>
    <t>Semaine 11</t>
  </si>
  <si>
    <t>Semaine 12</t>
  </si>
  <si>
    <t>Semaine 13</t>
  </si>
  <si>
    <t>Semaine 14</t>
  </si>
  <si>
    <t>Semaine 15</t>
  </si>
  <si>
    <t>Semaine 16</t>
  </si>
  <si>
    <t>Semaine 17</t>
  </si>
  <si>
    <t>Semaine 18</t>
  </si>
  <si>
    <t>Semaine 19</t>
  </si>
  <si>
    <t>Semaine 20</t>
  </si>
  <si>
    <t>Semaine 21</t>
  </si>
  <si>
    <t>Semaine 22</t>
  </si>
  <si>
    <t>Semaine 23</t>
  </si>
  <si>
    <t>Semaine 24</t>
  </si>
  <si>
    <t>Semaine 25</t>
  </si>
  <si>
    <t>Semaine 26</t>
  </si>
  <si>
    <t>Semaine 27</t>
  </si>
  <si>
    <t>Semaine 28</t>
  </si>
  <si>
    <t>Semaine 29</t>
  </si>
  <si>
    <t>Semaine 30</t>
  </si>
  <si>
    <t>Semaine 31</t>
  </si>
  <si>
    <t>Semaine 32</t>
  </si>
  <si>
    <t>Semaine 33</t>
  </si>
  <si>
    <t>Semaine 34</t>
  </si>
  <si>
    <t>Semaine 35</t>
  </si>
  <si>
    <t>Semaine 36</t>
  </si>
  <si>
    <t>Semaine 37</t>
  </si>
  <si>
    <t>Semaine 38</t>
  </si>
  <si>
    <t>Semaine 39</t>
  </si>
  <si>
    <t>Semaine 40</t>
  </si>
  <si>
    <t>Semaine 41</t>
  </si>
  <si>
    <t>Semaine 42</t>
  </si>
  <si>
    <t>Semaine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</si>
</sst>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MGA]\ * #,##0_);_([$MGA]\ * \(#,##0\);_([$MGA]\ * &quot;-&quot;_);_(@_)"/>
    <numFmt numFmtId="165" formatCode="[$-40C]d\-mmm\-yyyy;@"/>
    <numFmt numFmtId="166" formatCode="[$MGA]\ #,##0_);[Red]\([$MGA]\ #,##0\)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20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u/>
      <sz val="20"/>
      <color indexed="30"/>
      <name val="Calibri"/>
      <family val="2"/>
      <scheme val="minor"/>
    </font>
    <font>
      <b/>
      <u/>
      <sz val="15"/>
      <color theme="1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9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0" fontId="1" fillId="0" borderId="0" xfId="0" applyFont="1"/>
    <xf numFmtId="0" fontId="2" fillId="2" borderId="17" xfId="0" applyFont="1" applyFill="1" applyBorder="1"/>
    <xf numFmtId="0" fontId="2" fillId="3" borderId="11" xfId="0" applyFont="1" applyFill="1" applyBorder="1"/>
    <xf numFmtId="0" fontId="2" fillId="4" borderId="17" xfId="0" applyFont="1" applyFill="1" applyBorder="1"/>
    <xf numFmtId="165" fontId="0" fillId="0" borderId="17" xfId="0" applyNumberFormat="1" applyBorder="1"/>
    <xf numFmtId="165" fontId="0" fillId="0" borderId="19" xfId="0" applyNumberFormat="1" applyBorder="1"/>
    <xf numFmtId="165" fontId="0" fillId="0" borderId="18" xfId="0" applyNumberFormat="1" applyBorder="1"/>
    <xf numFmtId="165" fontId="0" fillId="0" borderId="0" xfId="0" applyNumberFormat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7" fillId="0" borderId="20" xfId="1" applyNumberFormat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165" fontId="9" fillId="0" borderId="3" xfId="1" applyNumberFormat="1" applyFont="1" applyBorder="1" applyAlignment="1">
      <alignment horizontal="center"/>
    </xf>
    <xf numFmtId="165" fontId="9" fillId="0" borderId="21" xfId="1" applyNumberFormat="1" applyFont="1" applyBorder="1" applyAlignment="1">
      <alignment horizontal="center"/>
    </xf>
    <xf numFmtId="164" fontId="10" fillId="2" borderId="31" xfId="0" applyNumberFormat="1" applyFont="1" applyFill="1" applyBorder="1" applyAlignment="1">
      <alignment horizontal="center"/>
    </xf>
    <xf numFmtId="164" fontId="10" fillId="3" borderId="31" xfId="0" applyNumberFormat="1" applyFont="1" applyFill="1" applyBorder="1" applyAlignment="1">
      <alignment horizontal="center"/>
    </xf>
    <xf numFmtId="164" fontId="10" fillId="2" borderId="26" xfId="0" applyNumberFormat="1" applyFont="1" applyFill="1" applyBorder="1" applyAlignment="1">
      <alignment horizontal="center"/>
    </xf>
    <xf numFmtId="164" fontId="10" fillId="3" borderId="26" xfId="0" applyNumberFormat="1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164" fontId="2" fillId="2" borderId="39" xfId="0" applyNumberFormat="1" applyFont="1" applyFill="1" applyBorder="1" applyAlignment="1">
      <alignment horizontal="center"/>
    </xf>
    <xf numFmtId="164" fontId="2" fillId="3" borderId="39" xfId="0" applyNumberFormat="1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4" fontId="10" fillId="2" borderId="32" xfId="0" applyNumberFormat="1" applyFont="1" applyFill="1" applyBorder="1" applyAlignment="1">
      <alignment horizontal="center"/>
    </xf>
    <xf numFmtId="164" fontId="10" fillId="3" borderId="32" xfId="0" applyNumberFormat="1" applyFont="1" applyFill="1" applyBorder="1" applyAlignment="1">
      <alignment horizontal="center"/>
    </xf>
    <xf numFmtId="164" fontId="13" fillId="7" borderId="22" xfId="0" applyNumberFormat="1" applyFont="1" applyFill="1" applyBorder="1"/>
    <xf numFmtId="0" fontId="12" fillId="7" borderId="28" xfId="0" applyFont="1" applyFill="1" applyBorder="1" applyAlignment="1">
      <alignment horizontal="center" vertical="center"/>
    </xf>
    <xf numFmtId="164" fontId="12" fillId="7" borderId="40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4" fontId="2" fillId="2" borderId="42" xfId="0" applyNumberFormat="1" applyFont="1" applyFill="1" applyBorder="1" applyAlignment="1">
      <alignment horizontal="center"/>
    </xf>
    <xf numFmtId="164" fontId="2" fillId="3" borderId="42" xfId="0" applyNumberFormat="1" applyFont="1" applyFill="1" applyBorder="1" applyAlignment="1">
      <alignment horizontal="center"/>
    </xf>
    <xf numFmtId="164" fontId="2" fillId="4" borderId="42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164" fontId="0" fillId="3" borderId="1" xfId="0" applyNumberFormat="1" applyFill="1" applyBorder="1"/>
    <xf numFmtId="165" fontId="0" fillId="0" borderId="6" xfId="0" applyNumberFormat="1" applyBorder="1"/>
    <xf numFmtId="164" fontId="0" fillId="2" borderId="6" xfId="0" applyNumberFormat="1" applyFill="1" applyBorder="1"/>
    <xf numFmtId="164" fontId="0" fillId="3" borderId="6" xfId="0" applyNumberFormat="1" applyFill="1" applyBorder="1"/>
    <xf numFmtId="164" fontId="0" fillId="0" borderId="7" xfId="0" applyNumberFormat="1" applyBorder="1"/>
    <xf numFmtId="0" fontId="0" fillId="0" borderId="13" xfId="0" applyBorder="1"/>
    <xf numFmtId="165" fontId="0" fillId="0" borderId="8" xfId="0" applyNumberFormat="1" applyBorder="1"/>
    <xf numFmtId="164" fontId="0" fillId="2" borderId="8" xfId="0" applyNumberFormat="1" applyFill="1" applyBorder="1"/>
    <xf numFmtId="0" fontId="0" fillId="0" borderId="9" xfId="0" applyBorder="1"/>
    <xf numFmtId="0" fontId="2" fillId="2" borderId="30" xfId="0" applyFont="1" applyFill="1" applyBorder="1"/>
    <xf numFmtId="164" fontId="2" fillId="2" borderId="44" xfId="0" applyNumberFormat="1" applyFont="1" applyFill="1" applyBorder="1" applyAlignment="1">
      <alignment horizontal="center"/>
    </xf>
    <xf numFmtId="0" fontId="2" fillId="3" borderId="30" xfId="0" applyFont="1" applyFill="1" applyBorder="1"/>
    <xf numFmtId="164" fontId="2" fillId="3" borderId="44" xfId="0" applyNumberFormat="1" applyFont="1" applyFill="1" applyBorder="1" applyAlignment="1">
      <alignment horizontal="center"/>
    </xf>
    <xf numFmtId="166" fontId="0" fillId="4" borderId="1" xfId="0" applyNumberFormat="1" applyFill="1" applyBorder="1"/>
    <xf numFmtId="166" fontId="2" fillId="4" borderId="39" xfId="0" applyNumberFormat="1" applyFont="1" applyFill="1" applyBorder="1" applyAlignment="1">
      <alignment horizontal="center"/>
    </xf>
    <xf numFmtId="166" fontId="10" fillId="4" borderId="32" xfId="0" applyNumberFormat="1" applyFont="1" applyFill="1" applyBorder="1" applyAlignment="1">
      <alignment horizontal="center"/>
    </xf>
    <xf numFmtId="166" fontId="10" fillId="4" borderId="31" xfId="0" applyNumberFormat="1" applyFont="1" applyFill="1" applyBorder="1" applyAlignment="1">
      <alignment horizontal="center"/>
    </xf>
    <xf numFmtId="166" fontId="10" fillId="4" borderId="26" xfId="0" applyNumberFormat="1" applyFont="1" applyFill="1" applyBorder="1" applyAlignment="1">
      <alignment horizontal="center"/>
    </xf>
    <xf numFmtId="164" fontId="10" fillId="2" borderId="30" xfId="0" applyNumberFormat="1" applyFont="1" applyFill="1" applyBorder="1" applyAlignment="1">
      <alignment horizontal="center"/>
    </xf>
    <xf numFmtId="164" fontId="10" fillId="3" borderId="30" xfId="0" applyNumberFormat="1" applyFont="1" applyFill="1" applyBorder="1" applyAlignment="1">
      <alignment horizontal="center"/>
    </xf>
    <xf numFmtId="166" fontId="10" fillId="4" borderId="30" xfId="0" applyNumberFormat="1" applyFont="1" applyFill="1" applyBorder="1" applyAlignment="1">
      <alignment horizontal="center"/>
    </xf>
    <xf numFmtId="165" fontId="11" fillId="7" borderId="36" xfId="0" applyNumberFormat="1" applyFont="1" applyFill="1" applyBorder="1" applyAlignment="1">
      <alignment horizontal="left"/>
    </xf>
    <xf numFmtId="165" fontId="11" fillId="7" borderId="37" xfId="0" applyNumberFormat="1" applyFont="1" applyFill="1" applyBorder="1" applyAlignment="1">
      <alignment horizontal="left"/>
    </xf>
    <xf numFmtId="165" fontId="11" fillId="7" borderId="35" xfId="0" applyNumberFormat="1" applyFont="1" applyFill="1" applyBorder="1" applyAlignment="1">
      <alignment horizontal="right"/>
    </xf>
    <xf numFmtId="165" fontId="11" fillId="7" borderId="36" xfId="0" applyNumberFormat="1" applyFont="1" applyFill="1" applyBorder="1" applyAlignment="1">
      <alignment horizontal="right"/>
    </xf>
    <xf numFmtId="165" fontId="2" fillId="5" borderId="5" xfId="0" applyNumberFormat="1" applyFont="1" applyFill="1" applyBorder="1" applyAlignment="1">
      <alignment horizontal="center" vertical="center"/>
    </xf>
    <xf numFmtId="165" fontId="2" fillId="5" borderId="38" xfId="0" applyNumberFormat="1" applyFont="1" applyFill="1" applyBorder="1" applyAlignment="1">
      <alignment horizontal="center" vertical="center"/>
    </xf>
    <xf numFmtId="165" fontId="2" fillId="5" borderId="16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0" borderId="10" xfId="0" applyNumberFormat="1" applyFont="1" applyBorder="1" applyAlignment="1">
      <alignment horizontal="right"/>
    </xf>
    <xf numFmtId="165" fontId="2" fillId="0" borderId="22" xfId="0" applyNumberFormat="1" applyFont="1" applyBorder="1" applyAlignment="1">
      <alignment horizontal="right"/>
    </xf>
    <xf numFmtId="165" fontId="2" fillId="0" borderId="12" xfId="0" applyNumberFormat="1" applyFont="1" applyBorder="1" applyAlignment="1">
      <alignment horizontal="right"/>
    </xf>
    <xf numFmtId="165" fontId="2" fillId="0" borderId="24" xfId="0" applyNumberFormat="1" applyFont="1" applyBorder="1" applyAlignment="1">
      <alignment horizontal="right"/>
    </xf>
    <xf numFmtId="165" fontId="2" fillId="0" borderId="14" xfId="0" applyNumberFormat="1" applyFont="1" applyBorder="1" applyAlignment="1">
      <alignment horizontal="right"/>
    </xf>
    <xf numFmtId="165" fontId="2" fillId="0" borderId="23" xfId="0" applyNumberFormat="1" applyFont="1" applyBorder="1" applyAlignment="1">
      <alignment horizontal="right"/>
    </xf>
    <xf numFmtId="0" fontId="2" fillId="5" borderId="25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6" fillId="6" borderId="27" xfId="1" applyFont="1" applyFill="1" applyBorder="1" applyAlignment="1">
      <alignment horizontal="center" vertical="center"/>
    </xf>
    <xf numFmtId="0" fontId="6" fillId="6" borderId="29" xfId="1" applyFont="1" applyFill="1" applyBorder="1" applyAlignment="1">
      <alignment horizontal="center" vertical="center"/>
    </xf>
    <xf numFmtId="0" fontId="6" fillId="6" borderId="28" xfId="1" applyFont="1" applyFill="1" applyBorder="1" applyAlignment="1">
      <alignment horizontal="center" vertical="center"/>
    </xf>
    <xf numFmtId="0" fontId="6" fillId="6" borderId="41" xfId="1" applyFont="1" applyFill="1" applyBorder="1" applyAlignment="1">
      <alignment horizontal="center" vertical="center"/>
    </xf>
    <xf numFmtId="0" fontId="6" fillId="6" borderId="34" xfId="1" applyFont="1" applyFill="1" applyBorder="1" applyAlignment="1">
      <alignment horizontal="center" vertical="center"/>
    </xf>
    <xf numFmtId="0" fontId="6" fillId="6" borderId="33" xfId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6" borderId="27" xfId="1" applyFont="1" applyFill="1" applyBorder="1" applyAlignment="1">
      <alignment horizontal="center" vertical="center"/>
    </xf>
    <xf numFmtId="0" fontId="8" fillId="6" borderId="29" xfId="1" applyFont="1" applyFill="1" applyBorder="1" applyAlignment="1">
      <alignment horizontal="center" vertical="center"/>
    </xf>
    <xf numFmtId="0" fontId="8" fillId="6" borderId="28" xfId="1" applyFont="1" applyFill="1" applyBorder="1" applyAlignment="1">
      <alignment horizontal="center" vertical="center"/>
    </xf>
    <xf numFmtId="0" fontId="8" fillId="6" borderId="41" xfId="1" applyFont="1" applyFill="1" applyBorder="1" applyAlignment="1">
      <alignment horizontal="center" vertical="center"/>
    </xf>
    <xf numFmtId="0" fontId="8" fillId="6" borderId="34" xfId="1" applyFont="1" applyFill="1" applyBorder="1" applyAlignment="1">
      <alignment horizontal="center" vertical="center"/>
    </xf>
    <xf numFmtId="0" fontId="8" fillId="6" borderId="33" xfId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6" xfId="0" applyNumberFormat="1" applyFont="1" applyFill="1" applyBorder="1" applyAlignment="1">
      <alignment horizontal="center" vertical="center"/>
    </xf>
    <xf numFmtId="165" fontId="2" fillId="5" borderId="29" xfId="0" applyNumberFormat="1" applyFont="1" applyFill="1" applyBorder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C72C-7860-724C-88D1-3C4C6657FBFC}">
  <sheetPr>
    <tabColor rgb="FFFFFF00"/>
  </sheetPr>
  <dimension ref="A1:F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10" defaultRowHeight="16" x14ac:dyDescent="0.2"/>
  <cols>
    <col min="1" max="1" width="15.5" style="1" customWidth="1"/>
    <col min="2" max="2" width="18.83203125" style="10" customWidth="1"/>
    <col min="3" max="3" width="21.5" bestFit="1" customWidth="1"/>
    <col min="4" max="4" width="24.83203125" bestFit="1" customWidth="1"/>
    <col min="5" max="5" width="25.6640625" bestFit="1" customWidth="1"/>
    <col min="6" max="6" width="20" bestFit="1" customWidth="1"/>
    <col min="15" max="15" width="22.83203125" bestFit="1" customWidth="1"/>
  </cols>
  <sheetData>
    <row r="1" spans="1:6" ht="27" thickBot="1" x14ac:dyDescent="0.35">
      <c r="A1" s="61" t="s">
        <v>44</v>
      </c>
      <c r="B1" s="62"/>
      <c r="C1" s="62"/>
      <c r="D1" s="62"/>
      <c r="E1" s="59">
        <f ca="1">TODAY()</f>
        <v>45974</v>
      </c>
      <c r="F1" s="60"/>
    </row>
    <row r="2" spans="1:6" ht="21" x14ac:dyDescent="0.25">
      <c r="A2" s="63" t="s">
        <v>8</v>
      </c>
      <c r="B2" s="65" t="s">
        <v>9</v>
      </c>
      <c r="C2" s="11" t="s">
        <v>41</v>
      </c>
      <c r="D2" s="12" t="s">
        <v>42</v>
      </c>
      <c r="E2" s="13" t="s">
        <v>43</v>
      </c>
      <c r="F2" s="31" t="s">
        <v>40</v>
      </c>
    </row>
    <row r="3" spans="1:6" ht="22" thickBot="1" x14ac:dyDescent="0.3">
      <c r="A3" s="64"/>
      <c r="B3" s="66"/>
      <c r="C3" s="24">
        <f>SUM(C4:C33)</f>
        <v>757000</v>
      </c>
      <c r="D3" s="25">
        <f>SUM(D4:D33)</f>
        <v>1686960000</v>
      </c>
      <c r="E3" s="52">
        <f>SUM(E4:E33)</f>
        <v>-1686203000</v>
      </c>
      <c r="F3" s="32">
        <f>SUM(F4:F33)</f>
        <v>1514000</v>
      </c>
    </row>
    <row r="4" spans="1:6" ht="22" thickBot="1" x14ac:dyDescent="0.3">
      <c r="A4" s="26">
        <f>'V1'!C1</f>
        <v>0</v>
      </c>
      <c r="B4" s="14" t="s">
        <v>10</v>
      </c>
      <c r="C4" s="56">
        <f>'V1'!C8</f>
        <v>757000</v>
      </c>
      <c r="D4" s="57">
        <f>'V1'!D8</f>
        <v>56232000</v>
      </c>
      <c r="E4" s="58">
        <f>'V1'!E8</f>
        <v>-55475000</v>
      </c>
      <c r="F4" s="30">
        <f>SUM(C4:E4)</f>
        <v>1514000</v>
      </c>
    </row>
    <row r="5" spans="1:6" ht="22" thickBot="1" x14ac:dyDescent="0.3">
      <c r="A5" s="27">
        <f>'V2'!C1</f>
        <v>0</v>
      </c>
      <c r="B5" s="15" t="s">
        <v>11</v>
      </c>
      <c r="C5" s="28">
        <f>'V2'!C8</f>
        <v>0</v>
      </c>
      <c r="D5" s="29">
        <f>'V2'!D8</f>
        <v>56232000</v>
      </c>
      <c r="E5" s="53">
        <f>'V2'!E8</f>
        <v>-56232000</v>
      </c>
      <c r="F5" s="30">
        <f t="shared" ref="F5:F33" si="0">SUM(C5:E5)</f>
        <v>0</v>
      </c>
    </row>
    <row r="6" spans="1:6" ht="22" thickBot="1" x14ac:dyDescent="0.3">
      <c r="A6" s="27">
        <f>'V3'!C1</f>
        <v>0</v>
      </c>
      <c r="B6" s="15" t="s">
        <v>12</v>
      </c>
      <c r="C6" s="28">
        <f>'V3'!C8</f>
        <v>0</v>
      </c>
      <c r="D6" s="29">
        <f>'V3'!D8</f>
        <v>56232000</v>
      </c>
      <c r="E6" s="53">
        <f>'V3'!E8</f>
        <v>-56232000</v>
      </c>
      <c r="F6" s="30">
        <f t="shared" si="0"/>
        <v>0</v>
      </c>
    </row>
    <row r="7" spans="1:6" ht="21" thickBot="1" x14ac:dyDescent="0.3">
      <c r="A7" s="22">
        <f>'V4'!C1</f>
        <v>0</v>
      </c>
      <c r="B7" s="16" t="s">
        <v>13</v>
      </c>
      <c r="C7" s="28">
        <f>'V4'!C8</f>
        <v>0</v>
      </c>
      <c r="D7" s="29">
        <f>'V4'!D8</f>
        <v>56232000</v>
      </c>
      <c r="E7" s="53">
        <f>'V4'!E8</f>
        <v>-56232000</v>
      </c>
      <c r="F7" s="30">
        <f t="shared" si="0"/>
        <v>0</v>
      </c>
    </row>
    <row r="8" spans="1:6" ht="21" thickBot="1" x14ac:dyDescent="0.3">
      <c r="A8" s="22">
        <f>'V5'!C1</f>
        <v>0</v>
      </c>
      <c r="B8" s="16" t="s">
        <v>14</v>
      </c>
      <c r="C8" s="18">
        <f>'V5'!C8</f>
        <v>0</v>
      </c>
      <c r="D8" s="19">
        <f>'V5'!D8</f>
        <v>56232000</v>
      </c>
      <c r="E8" s="54">
        <f>'V5'!E8</f>
        <v>-56232000</v>
      </c>
      <c r="F8" s="30">
        <f t="shared" si="0"/>
        <v>0</v>
      </c>
    </row>
    <row r="9" spans="1:6" ht="21" thickBot="1" x14ac:dyDescent="0.3">
      <c r="A9" s="22">
        <f>'V6'!C1</f>
        <v>0</v>
      </c>
      <c r="B9" s="16" t="s">
        <v>15</v>
      </c>
      <c r="C9" s="18">
        <f>'V6'!C8</f>
        <v>0</v>
      </c>
      <c r="D9" s="19">
        <f>'V6'!D8</f>
        <v>56232000</v>
      </c>
      <c r="E9" s="54">
        <f>'V6'!E8</f>
        <v>-56232000</v>
      </c>
      <c r="F9" s="30">
        <f t="shared" si="0"/>
        <v>0</v>
      </c>
    </row>
    <row r="10" spans="1:6" ht="21" thickBot="1" x14ac:dyDescent="0.3">
      <c r="A10" s="22">
        <f>'V7'!C1</f>
        <v>0</v>
      </c>
      <c r="B10" s="16" t="s">
        <v>16</v>
      </c>
      <c r="C10" s="18">
        <f>'V7'!C8</f>
        <v>0</v>
      </c>
      <c r="D10" s="19">
        <f>'V7'!D8</f>
        <v>56232000</v>
      </c>
      <c r="E10" s="54">
        <f>'V7'!E8</f>
        <v>-56232000</v>
      </c>
      <c r="F10" s="30">
        <f t="shared" si="0"/>
        <v>0</v>
      </c>
    </row>
    <row r="11" spans="1:6" ht="21" thickBot="1" x14ac:dyDescent="0.3">
      <c r="A11" s="22">
        <f>'V8'!C1</f>
        <v>0</v>
      </c>
      <c r="B11" s="16" t="s">
        <v>17</v>
      </c>
      <c r="C11" s="18">
        <f>'V8'!C8</f>
        <v>0</v>
      </c>
      <c r="D11" s="19">
        <f>'V8'!D8</f>
        <v>56232000</v>
      </c>
      <c r="E11" s="54">
        <f>'V8'!E8</f>
        <v>-56232000</v>
      </c>
      <c r="F11" s="30">
        <f t="shared" si="0"/>
        <v>0</v>
      </c>
    </row>
    <row r="12" spans="1:6" ht="21" thickBot="1" x14ac:dyDescent="0.3">
      <c r="A12" s="22">
        <f>'V9'!C1</f>
        <v>0</v>
      </c>
      <c r="B12" s="16" t="s">
        <v>18</v>
      </c>
      <c r="C12" s="18">
        <f>'V9'!C8</f>
        <v>0</v>
      </c>
      <c r="D12" s="19">
        <f>'V9'!D8</f>
        <v>56232000</v>
      </c>
      <c r="E12" s="54">
        <f>'V9'!E8</f>
        <v>-56232000</v>
      </c>
      <c r="F12" s="30">
        <f t="shared" si="0"/>
        <v>0</v>
      </c>
    </row>
    <row r="13" spans="1:6" ht="21" thickBot="1" x14ac:dyDescent="0.3">
      <c r="A13" s="22">
        <f>'V10'!C1</f>
        <v>0</v>
      </c>
      <c r="B13" s="16" t="s">
        <v>19</v>
      </c>
      <c r="C13" s="18">
        <f>'V10'!C8</f>
        <v>0</v>
      </c>
      <c r="D13" s="19">
        <f>'V10'!D8</f>
        <v>56232000</v>
      </c>
      <c r="E13" s="54">
        <f>'V10'!E8</f>
        <v>-56232000</v>
      </c>
      <c r="F13" s="30">
        <f t="shared" si="0"/>
        <v>0</v>
      </c>
    </row>
    <row r="14" spans="1:6" ht="21" thickBot="1" x14ac:dyDescent="0.3">
      <c r="A14" s="22">
        <f>'V11'!C1</f>
        <v>0</v>
      </c>
      <c r="B14" s="16" t="s">
        <v>7</v>
      </c>
      <c r="C14" s="18">
        <f>'V11'!C8</f>
        <v>0</v>
      </c>
      <c r="D14" s="19">
        <f>'V11'!D8</f>
        <v>56232000</v>
      </c>
      <c r="E14" s="54">
        <f>'V11'!E8</f>
        <v>-56232000</v>
      </c>
      <c r="F14" s="30">
        <f t="shared" si="0"/>
        <v>0</v>
      </c>
    </row>
    <row r="15" spans="1:6" ht="21" thickBot="1" x14ac:dyDescent="0.3">
      <c r="A15" s="22">
        <f>'V1'!C1</f>
        <v>0</v>
      </c>
      <c r="B15" s="16" t="s">
        <v>20</v>
      </c>
      <c r="C15" s="18">
        <f>'V12'!C8</f>
        <v>0</v>
      </c>
      <c r="D15" s="19">
        <f>'V12'!D8</f>
        <v>56232000</v>
      </c>
      <c r="E15" s="54">
        <f>'V12'!E8</f>
        <v>-56232000</v>
      </c>
      <c r="F15" s="30">
        <f t="shared" si="0"/>
        <v>0</v>
      </c>
    </row>
    <row r="16" spans="1:6" ht="21" thickBot="1" x14ac:dyDescent="0.3">
      <c r="A16" s="22">
        <f>'V13'!C1</f>
        <v>0</v>
      </c>
      <c r="B16" s="16" t="s">
        <v>21</v>
      </c>
      <c r="C16" s="18">
        <f>'V13'!C8</f>
        <v>0</v>
      </c>
      <c r="D16" s="19">
        <f>'V13'!D8</f>
        <v>56232000</v>
      </c>
      <c r="E16" s="54">
        <f>'V13'!E8</f>
        <v>-56232000</v>
      </c>
      <c r="F16" s="30">
        <f t="shared" si="0"/>
        <v>0</v>
      </c>
    </row>
    <row r="17" spans="1:6" ht="21" thickBot="1" x14ac:dyDescent="0.3">
      <c r="A17" s="22">
        <f>'V14'!C1</f>
        <v>0</v>
      </c>
      <c r="B17" s="16" t="s">
        <v>22</v>
      </c>
      <c r="C17" s="18">
        <f>'V14'!C8</f>
        <v>0</v>
      </c>
      <c r="D17" s="19">
        <f>'V14'!D8</f>
        <v>56232000</v>
      </c>
      <c r="E17" s="54">
        <f>'V14'!E8</f>
        <v>-56232000</v>
      </c>
      <c r="F17" s="30">
        <f t="shared" si="0"/>
        <v>0</v>
      </c>
    </row>
    <row r="18" spans="1:6" ht="21" thickBot="1" x14ac:dyDescent="0.3">
      <c r="A18" s="22">
        <f>'V15'!C1</f>
        <v>0</v>
      </c>
      <c r="B18" s="16" t="s">
        <v>23</v>
      </c>
      <c r="C18" s="18">
        <f>'V15'!C8</f>
        <v>0</v>
      </c>
      <c r="D18" s="19">
        <f>'V15'!D8</f>
        <v>56232000</v>
      </c>
      <c r="E18" s="54">
        <f>'V15'!E8</f>
        <v>-56232000</v>
      </c>
      <c r="F18" s="30">
        <f t="shared" si="0"/>
        <v>0</v>
      </c>
    </row>
    <row r="19" spans="1:6" ht="21" thickBot="1" x14ac:dyDescent="0.3">
      <c r="A19" s="22">
        <f>'V16'!C1</f>
        <v>0</v>
      </c>
      <c r="B19" s="16" t="s">
        <v>24</v>
      </c>
      <c r="C19" s="18">
        <f>'V16'!C8</f>
        <v>0</v>
      </c>
      <c r="D19" s="19">
        <f>'V16'!D8</f>
        <v>56232000</v>
      </c>
      <c r="E19" s="54">
        <f>'V16'!E8</f>
        <v>-56232000</v>
      </c>
      <c r="F19" s="30">
        <f t="shared" si="0"/>
        <v>0</v>
      </c>
    </row>
    <row r="20" spans="1:6" ht="21" thickBot="1" x14ac:dyDescent="0.3">
      <c r="A20" s="22">
        <f>'V17'!C1</f>
        <v>0</v>
      </c>
      <c r="B20" s="16" t="s">
        <v>25</v>
      </c>
      <c r="C20" s="18">
        <f>'V17'!C8</f>
        <v>0</v>
      </c>
      <c r="D20" s="19">
        <f>'V17'!D8</f>
        <v>56232000</v>
      </c>
      <c r="E20" s="54">
        <f>'V17'!E8</f>
        <v>-56232000</v>
      </c>
      <c r="F20" s="30">
        <f t="shared" si="0"/>
        <v>0</v>
      </c>
    </row>
    <row r="21" spans="1:6" ht="21" thickBot="1" x14ac:dyDescent="0.3">
      <c r="A21" s="22">
        <f>'V18'!C1</f>
        <v>0</v>
      </c>
      <c r="B21" s="16" t="s">
        <v>26</v>
      </c>
      <c r="C21" s="18">
        <f>'V18'!C8</f>
        <v>0</v>
      </c>
      <c r="D21" s="19">
        <f>'V18'!D8</f>
        <v>56232000</v>
      </c>
      <c r="E21" s="54">
        <f>'V18'!E8</f>
        <v>-56232000</v>
      </c>
      <c r="F21" s="30">
        <f t="shared" si="0"/>
        <v>0</v>
      </c>
    </row>
    <row r="22" spans="1:6" ht="21" thickBot="1" x14ac:dyDescent="0.3">
      <c r="A22" s="22">
        <f>'V19'!C1</f>
        <v>0</v>
      </c>
      <c r="B22" s="16" t="s">
        <v>27</v>
      </c>
      <c r="C22" s="18">
        <f>'V19'!C8</f>
        <v>0</v>
      </c>
      <c r="D22" s="19">
        <f>'V19'!D8</f>
        <v>56232000</v>
      </c>
      <c r="E22" s="54">
        <f>'V19'!E8</f>
        <v>-56232000</v>
      </c>
      <c r="F22" s="30">
        <f t="shared" si="0"/>
        <v>0</v>
      </c>
    </row>
    <row r="23" spans="1:6" ht="21" thickBot="1" x14ac:dyDescent="0.3">
      <c r="A23" s="22">
        <f>'V20'!C1</f>
        <v>0</v>
      </c>
      <c r="B23" s="16" t="s">
        <v>28</v>
      </c>
      <c r="C23" s="18">
        <f>'V20'!C8</f>
        <v>0</v>
      </c>
      <c r="D23" s="19">
        <f>'V20'!D8</f>
        <v>56232000</v>
      </c>
      <c r="E23" s="54">
        <f>'V20'!E8</f>
        <v>-56232000</v>
      </c>
      <c r="F23" s="30">
        <f t="shared" si="0"/>
        <v>0</v>
      </c>
    </row>
    <row r="24" spans="1:6" ht="21" thickBot="1" x14ac:dyDescent="0.3">
      <c r="A24" s="22">
        <f>'V21'!C1</f>
        <v>0</v>
      </c>
      <c r="B24" s="16" t="s">
        <v>29</v>
      </c>
      <c r="C24" s="18">
        <f>'V21'!C8</f>
        <v>0</v>
      </c>
      <c r="D24" s="19">
        <f>'V21'!D8</f>
        <v>56232000</v>
      </c>
      <c r="E24" s="54">
        <f>'V21'!E8</f>
        <v>-56232000</v>
      </c>
      <c r="F24" s="30">
        <f t="shared" si="0"/>
        <v>0</v>
      </c>
    </row>
    <row r="25" spans="1:6" ht="21" thickBot="1" x14ac:dyDescent="0.3">
      <c r="A25" s="22">
        <f>'V22'!C1</f>
        <v>0</v>
      </c>
      <c r="B25" s="16" t="s">
        <v>30</v>
      </c>
      <c r="C25" s="18">
        <f>'V22'!C8</f>
        <v>0</v>
      </c>
      <c r="D25" s="19">
        <f>'V22'!D8</f>
        <v>56232000</v>
      </c>
      <c r="E25" s="54">
        <f>'V22'!E8</f>
        <v>-56232000</v>
      </c>
      <c r="F25" s="30">
        <f t="shared" si="0"/>
        <v>0</v>
      </c>
    </row>
    <row r="26" spans="1:6" ht="21" thickBot="1" x14ac:dyDescent="0.3">
      <c r="A26" s="22">
        <f>'V23'!C1</f>
        <v>0</v>
      </c>
      <c r="B26" s="16" t="s">
        <v>31</v>
      </c>
      <c r="C26" s="18">
        <f>'V23'!C8</f>
        <v>0</v>
      </c>
      <c r="D26" s="19">
        <f>'V23'!D8</f>
        <v>56232000</v>
      </c>
      <c r="E26" s="54">
        <f>'V23'!E8</f>
        <v>-56232000</v>
      </c>
      <c r="F26" s="30">
        <f t="shared" si="0"/>
        <v>0</v>
      </c>
    </row>
    <row r="27" spans="1:6" ht="21" thickBot="1" x14ac:dyDescent="0.3">
      <c r="A27" s="22">
        <f>'V24'!C1</f>
        <v>0</v>
      </c>
      <c r="B27" s="16" t="s">
        <v>32</v>
      </c>
      <c r="C27" s="18">
        <f>'V24'!C8</f>
        <v>0</v>
      </c>
      <c r="D27" s="19">
        <f>'V24'!D8</f>
        <v>56232000</v>
      </c>
      <c r="E27" s="54">
        <f>'V24'!E8</f>
        <v>-56232000</v>
      </c>
      <c r="F27" s="30">
        <f t="shared" si="0"/>
        <v>0</v>
      </c>
    </row>
    <row r="28" spans="1:6" ht="21" thickBot="1" x14ac:dyDescent="0.3">
      <c r="A28" s="22">
        <f>'V25'!C1</f>
        <v>0</v>
      </c>
      <c r="B28" s="16" t="s">
        <v>33</v>
      </c>
      <c r="C28" s="18">
        <f>'V25'!C8</f>
        <v>0</v>
      </c>
      <c r="D28" s="19">
        <f>'V25'!D8</f>
        <v>56232000</v>
      </c>
      <c r="E28" s="54">
        <f>'V25'!E8</f>
        <v>-56232000</v>
      </c>
      <c r="F28" s="30">
        <f t="shared" si="0"/>
        <v>0</v>
      </c>
    </row>
    <row r="29" spans="1:6" ht="21" thickBot="1" x14ac:dyDescent="0.3">
      <c r="A29" s="22">
        <f>'V26'!C1</f>
        <v>0</v>
      </c>
      <c r="B29" s="16" t="s">
        <v>34</v>
      </c>
      <c r="C29" s="18">
        <f>'V26'!C8</f>
        <v>0</v>
      </c>
      <c r="D29" s="19">
        <f>'V26'!D8</f>
        <v>56232000</v>
      </c>
      <c r="E29" s="54">
        <f>'V26'!E8</f>
        <v>-56232000</v>
      </c>
      <c r="F29" s="30">
        <f t="shared" si="0"/>
        <v>0</v>
      </c>
    </row>
    <row r="30" spans="1:6" ht="21" thickBot="1" x14ac:dyDescent="0.3">
      <c r="A30" s="22">
        <f>'V27'!C1</f>
        <v>0</v>
      </c>
      <c r="B30" s="16" t="s">
        <v>35</v>
      </c>
      <c r="C30" s="18">
        <f>'V27'!C8</f>
        <v>0</v>
      </c>
      <c r="D30" s="19">
        <f>'V27'!D8</f>
        <v>56232000</v>
      </c>
      <c r="E30" s="54">
        <f>'V27'!E8</f>
        <v>-56232000</v>
      </c>
      <c r="F30" s="30">
        <f t="shared" si="0"/>
        <v>0</v>
      </c>
    </row>
    <row r="31" spans="1:6" ht="21" thickBot="1" x14ac:dyDescent="0.3">
      <c r="A31" s="22">
        <f>'V28'!C1</f>
        <v>0</v>
      </c>
      <c r="B31" s="16" t="s">
        <v>36</v>
      </c>
      <c r="C31" s="18">
        <f>'V28'!C8</f>
        <v>0</v>
      </c>
      <c r="D31" s="19">
        <f>'V28'!D8</f>
        <v>56232000</v>
      </c>
      <c r="E31" s="54">
        <f>'V28'!E8</f>
        <v>-56232000</v>
      </c>
      <c r="F31" s="30">
        <f t="shared" si="0"/>
        <v>0</v>
      </c>
    </row>
    <row r="32" spans="1:6" ht="21" thickBot="1" x14ac:dyDescent="0.3">
      <c r="A32" s="22">
        <f>'V29'!C1</f>
        <v>0</v>
      </c>
      <c r="B32" s="16" t="s">
        <v>37</v>
      </c>
      <c r="C32" s="18">
        <f>'V29'!C8</f>
        <v>0</v>
      </c>
      <c r="D32" s="19">
        <f>'V29'!D8</f>
        <v>56232000</v>
      </c>
      <c r="E32" s="54">
        <f>'V29'!E8</f>
        <v>-56232000</v>
      </c>
      <c r="F32" s="30">
        <f t="shared" si="0"/>
        <v>0</v>
      </c>
    </row>
    <row r="33" spans="1:6" ht="21" thickBot="1" x14ac:dyDescent="0.3">
      <c r="A33" s="23">
        <f>'V30'!C1</f>
        <v>0</v>
      </c>
      <c r="B33" s="17" t="s">
        <v>38</v>
      </c>
      <c r="C33" s="20">
        <f>'V30'!C8</f>
        <v>0</v>
      </c>
      <c r="D33" s="21">
        <f>'V30'!D8</f>
        <v>56232000</v>
      </c>
      <c r="E33" s="55">
        <f>'V30'!E8</f>
        <v>-56232000</v>
      </c>
      <c r="F33" s="30">
        <f t="shared" si="0"/>
        <v>0</v>
      </c>
    </row>
  </sheetData>
  <mergeCells count="4">
    <mergeCell ref="E1:F1"/>
    <mergeCell ref="A1:D1"/>
    <mergeCell ref="A2:A3"/>
    <mergeCell ref="B2:B3"/>
  </mergeCells>
  <phoneticPr fontId="3" type="noConversion"/>
  <hyperlinks>
    <hyperlink ref="B4" location="'V1'!A1" display="V1" xr:uid="{40AE9EBD-785F-AB46-B665-385FC3ECA818}"/>
    <hyperlink ref="B5" location="'V2'!A1" display="V2" xr:uid="{0A60256D-A2FE-7E4C-962D-1A4F958E5C3D}"/>
    <hyperlink ref="B6" location="'V3'!A1" display="V3" xr:uid="{5D14030C-3629-984A-809E-BC73CD1F958E}"/>
    <hyperlink ref="B7" location="'V4'!A1" display="V4" xr:uid="{C070647D-920D-D342-A0BD-891E195586BF}"/>
    <hyperlink ref="B8" location="'V5'!A1" display="V5" xr:uid="{9CC8BA1D-07B0-5C47-BD49-FD5C54DD13BE}"/>
    <hyperlink ref="B9" location="'V6'!A1" display="V6" xr:uid="{B442F37C-3233-B44D-A111-B8F797F570B0}"/>
    <hyperlink ref="B10" location="'V7'!A1" display="V7" xr:uid="{CCD9421F-F213-B24F-84CF-879DB0101E0B}"/>
    <hyperlink ref="B11" location="'V8'!A1" display="V8" xr:uid="{CDB258A9-0415-634F-B1B9-9224FF5A5EFA}"/>
    <hyperlink ref="B12" location="'V9'!A1" display="V9" xr:uid="{47956583-36D5-C841-A49E-521185A4EB81}"/>
    <hyperlink ref="B13" location="'V10'!A1" display="V10" xr:uid="{8A46DFE3-67E7-2D41-8930-420388D44CDC}"/>
    <hyperlink ref="B14" location="'V11'!A1" display="V11" xr:uid="{2F490299-392C-1548-8116-8311C54653AD}"/>
    <hyperlink ref="B15" location="'V12'!A1" display="V12" xr:uid="{45EA394A-9A07-D742-B649-09DEF311B0F7}"/>
    <hyperlink ref="B16" location="'V13'!A1" display="V13" xr:uid="{A5A76473-4387-2743-B4BF-E9059236F48A}"/>
    <hyperlink ref="B17" location="'V14'!A1" display="V14" xr:uid="{FFD01896-C8DB-0349-A07B-22CD51725ED0}"/>
    <hyperlink ref="B18" location="'V15'!A1" display="V15" xr:uid="{5AF2F967-5595-D841-90D6-00A3B300C720}"/>
    <hyperlink ref="B19" location="'V16'!A1" display="V16" xr:uid="{F3290374-EF79-7740-92C2-AD69D8798614}"/>
    <hyperlink ref="B20" location="'V17'!A1" display="V17" xr:uid="{6F0606B8-6CA8-2146-BC41-846EC9023B25}"/>
    <hyperlink ref="B21" location="'V18'!A1" display="V18" xr:uid="{C8A8E20A-1909-8746-9D4D-6B8147ADC25B}"/>
    <hyperlink ref="B22" location="'V19'!A1" display="V19" xr:uid="{321426C2-C972-AE4F-9C70-15950341ADF0}"/>
    <hyperlink ref="B23" location="'V20'!A1" display="V20" xr:uid="{8F0111E4-21DD-C847-BFD1-F7738AB331C9}"/>
    <hyperlink ref="B24" location="'V21'!A1" display="V21" xr:uid="{0ECB739F-B09B-A54D-A71E-268D01B806CC}"/>
    <hyperlink ref="B25" location="'V22'!A1" display="V22" xr:uid="{71AD0980-31DD-EE40-8807-9FC4E1A7D6EE}"/>
    <hyperlink ref="B26" location="'V23'!A1" display="V23" xr:uid="{353E6AE4-B430-6849-88B2-45D97F09D50A}"/>
    <hyperlink ref="B27" location="'V24'!A1" display="V24" xr:uid="{43921653-2141-8142-98BE-CADD4886EE5D}"/>
    <hyperlink ref="B28" location="'V25'!A1" display="V25" xr:uid="{56D9E447-343B-314F-A7E8-416A606E32B7}"/>
    <hyperlink ref="B29" location="'V26'!A1" display="V26" xr:uid="{5B79C04C-CDEC-1648-A46A-9620AADC2C3E}"/>
    <hyperlink ref="B30" location="'V27'!A1" display="V27" xr:uid="{735EE2FA-6DFF-3847-B362-AAB2AE517249}"/>
    <hyperlink ref="B31" location="'V28'!A1" display="V28" xr:uid="{EBDB2873-41BF-E246-B6C3-9149892C7BF8}"/>
    <hyperlink ref="B32" location="'V29'!A1" display="V29" xr:uid="{C57DBF0A-8131-F546-B25F-A2046912C935}"/>
    <hyperlink ref="B33" location="'V30'!A1" display="V30" xr:uid="{EADFE779-F95E-504A-B813-F23C8A5AEC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E0BE-5639-1049-BA45-69C84A944CA5}">
  <sheetPr>
    <tabColor rgb="FFFF0000"/>
  </sheetPr>
  <dimension ref="A1:I150"/>
  <sheetViews>
    <sheetView tabSelected="1" workbookViewId="0">
      <pane xSplit="2" ySplit="8" topLeftCell="C9" activePane="bottomRight" state="frozen"/>
      <selection activeCell="A2" sqref="A2:A3"/>
      <selection pane="topRight" activeCell="A2" sqref="A2:A3"/>
      <selection pane="bottomLeft" activeCell="A2" sqref="A2:A3"/>
      <selection pane="bottomRight" activeCell="C11" sqref="C11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81"/>
      <c r="D1" s="82"/>
      <c r="E1" s="82"/>
      <c r="F1" s="83"/>
      <c r="G1" s="75" t="s">
        <v>39</v>
      </c>
      <c r="H1" s="76"/>
      <c r="I1" s="77"/>
    </row>
    <row r="2" spans="1:9" ht="22" customHeight="1" thickBot="1" x14ac:dyDescent="0.3">
      <c r="A2" s="69" t="s">
        <v>3</v>
      </c>
      <c r="B2" s="70"/>
      <c r="C2" s="84" t="s">
        <v>10</v>
      </c>
      <c r="D2" s="85"/>
      <c r="E2" s="85"/>
      <c r="F2" s="86"/>
      <c r="G2" s="78"/>
      <c r="H2" s="79"/>
      <c r="I2" s="80"/>
    </row>
    <row r="3" spans="1:9" ht="21" x14ac:dyDescent="0.25">
      <c r="A3" s="69" t="s">
        <v>4</v>
      </c>
      <c r="B3" s="70"/>
      <c r="C3" s="84"/>
      <c r="D3" s="85"/>
      <c r="E3" s="85"/>
      <c r="F3" s="86"/>
    </row>
    <row r="4" spans="1:9" ht="21" x14ac:dyDescent="0.25">
      <c r="A4" s="69" t="s">
        <v>5</v>
      </c>
      <c r="B4" s="70"/>
      <c r="C4" s="84"/>
      <c r="D4" s="85"/>
      <c r="E4" s="85"/>
      <c r="F4" s="86"/>
    </row>
    <row r="5" spans="1:9" ht="22" thickBot="1" x14ac:dyDescent="0.3">
      <c r="A5" s="71" t="s">
        <v>6</v>
      </c>
      <c r="B5" s="72"/>
      <c r="C5" s="87"/>
      <c r="D5" s="88"/>
      <c r="E5" s="88"/>
      <c r="F5" s="89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757000</v>
      </c>
      <c r="D8" s="35">
        <f>SUM(D9:D150)</f>
        <v>56232000</v>
      </c>
      <c r="E8" s="36">
        <f>SUM(E9:E150)</f>
        <v>-55475000</v>
      </c>
      <c r="F8" s="74"/>
    </row>
    <row r="9" spans="1:9" x14ac:dyDescent="0.2">
      <c r="A9" s="7"/>
      <c r="B9" s="39" t="s">
        <v>48</v>
      </c>
      <c r="C9" s="40">
        <v>345000</v>
      </c>
      <c r="D9" s="41">
        <v>396000</v>
      </c>
      <c r="E9" s="51">
        <f>C9-D9</f>
        <v>-51000</v>
      </c>
      <c r="F9" s="42"/>
    </row>
    <row r="10" spans="1:9" x14ac:dyDescent="0.2">
      <c r="A10" s="8"/>
      <c r="B10" s="33" t="s">
        <v>49</v>
      </c>
      <c r="C10" s="37">
        <v>412000</v>
      </c>
      <c r="D10" s="38">
        <v>396000</v>
      </c>
      <c r="E10" s="51">
        <f>C10-D10</f>
        <v>16000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F7:F8"/>
    <mergeCell ref="G1:I2"/>
    <mergeCell ref="C1:F1"/>
    <mergeCell ref="C2:F2"/>
    <mergeCell ref="C3:F3"/>
    <mergeCell ref="C4:F4"/>
    <mergeCell ref="C5:F5"/>
    <mergeCell ref="A7:A8"/>
    <mergeCell ref="B7:B8"/>
    <mergeCell ref="A1:B1"/>
    <mergeCell ref="A2:B2"/>
    <mergeCell ref="A3:B3"/>
    <mergeCell ref="A4:B4"/>
    <mergeCell ref="A5:B5"/>
  </mergeCells>
  <phoneticPr fontId="3" type="noConversion"/>
  <hyperlinks>
    <hyperlink ref="G1:I2" location="GLOBAL!A1" display="Retour au GLOBAL" xr:uid="{6DD132D0-700B-8849-9C2B-4C035165303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CA8E-1620-F143-B219-D911E375EF00}">
  <sheetPr>
    <tabColor rgb="FF0432FF"/>
  </sheetPr>
  <dimension ref="A1:I150"/>
  <sheetViews>
    <sheetView workbookViewId="0">
      <pane xSplit="2" ySplit="8" topLeftCell="D9" activePane="bottomRight" state="frozen"/>
      <selection activeCell="A2" sqref="A2:A3"/>
      <selection pane="topRight" activeCell="A2" sqref="A2:A3"/>
      <selection pane="bottomLeft" activeCell="A2" sqref="A2:A3"/>
      <selection pane="bottomRight" activeCell="C3" sqref="C3:F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11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D11A5B9D-A994-8B49-A571-9B9AF6B626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EAA4-6645-CD48-9ADC-AFFD1296248D}">
  <sheetPr>
    <tabColor rgb="FFFFC000"/>
  </sheetPr>
  <dimension ref="A1:I150"/>
  <sheetViews>
    <sheetView workbookViewId="0">
      <selection activeCell="C2" sqref="C2:F2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12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54B0106C-4299-EE4B-92A6-8F7E2ECAEFC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5241-719A-AC4B-923E-D6F90690B4AC}">
  <sheetPr>
    <tabColor rgb="FF00B050"/>
  </sheetPr>
  <dimension ref="A1:I150"/>
  <sheetViews>
    <sheetView workbookViewId="0">
      <selection activeCell="C2" sqref="C2:F2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13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0D2DC229-12F6-E847-89D8-D097EAC8A63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15EA-42D9-4A47-9216-413DA044D336}">
  <sheetPr>
    <tabColor rgb="FF00B0F0"/>
  </sheetPr>
  <dimension ref="A1:I150"/>
  <sheetViews>
    <sheetView workbookViewId="0">
      <selection activeCell="C3" sqref="C3:F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14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27395765-B58A-C942-BAA8-6F16E3891B7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2BC0-9108-3448-9DC9-8BFE90662386}">
  <sheetPr>
    <tabColor theme="1"/>
  </sheetPr>
  <dimension ref="A1:I150"/>
  <sheetViews>
    <sheetView workbookViewId="0">
      <selection activeCell="C2" sqref="C2:F2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15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62798174-6B07-524D-8A84-6B6F8884D61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2457-0251-0D4A-91B9-45A9202C1842}">
  <sheetPr>
    <tabColor theme="0"/>
  </sheetPr>
  <dimension ref="A1:I150"/>
  <sheetViews>
    <sheetView workbookViewId="0">
      <selection activeCell="C3" sqref="C3:F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16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916695A4-54E1-E94E-95E0-3937F05358D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EC10-EE29-C744-9B5F-66C11FB8ABB8}">
  <sheetPr>
    <tabColor rgb="FF7030A0"/>
  </sheetPr>
  <dimension ref="A1:I150"/>
  <sheetViews>
    <sheetView workbookViewId="0">
      <selection activeCell="C2" sqref="C2:F2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17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DDCDCEB1-3892-844C-AD21-18C0F71C3EA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156F-13E2-E947-A346-7BCB917C017E}">
  <sheetPr>
    <tabColor theme="7" tint="0.39997558519241921"/>
  </sheetPr>
  <dimension ref="A1:I150"/>
  <sheetViews>
    <sheetView workbookViewId="0">
      <selection activeCell="C2" sqref="C2:F2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18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C7133078-BBFD-4441-9052-EE845461F6C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A8FF-4394-034A-BC33-65A65BA86AAD}">
  <sheetPr>
    <tabColor theme="5" tint="-0.249977111117893"/>
  </sheetPr>
  <dimension ref="A1:I150"/>
  <sheetViews>
    <sheetView workbookViewId="0">
      <selection activeCell="C3" sqref="C3:F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19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C53CF72F-A19B-FA4B-843B-6A7ED12F1DE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C3E8-8116-4544-B576-B0F492F41E3D}">
  <sheetPr>
    <tabColor theme="9"/>
  </sheetPr>
  <dimension ref="A1:I150"/>
  <sheetViews>
    <sheetView workbookViewId="0">
      <selection activeCell="C3" sqref="C3:F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7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0B28BE75-54DD-5549-B49A-61A1D141065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C626-14FE-4C47-8963-331219EFFDAB}">
  <sheetPr>
    <tabColor rgb="FFFF0000"/>
  </sheetPr>
  <dimension ref="A1:I150"/>
  <sheetViews>
    <sheetView workbookViewId="0">
      <selection activeCell="C3" sqref="C3:F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20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B00B3C00-B76C-D642-BE3A-0985C19EE0D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BA4E-B571-CD41-8F91-CB187B63976B}">
  <sheetPr>
    <tabColor rgb="FF0432FF"/>
  </sheetPr>
  <dimension ref="A1:I150"/>
  <sheetViews>
    <sheetView workbookViewId="0">
      <selection activeCell="C2" sqref="C2:F2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21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D56FCE4C-7552-2243-A4C5-465C029C6C2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5A83-5FA6-C44D-9333-72A6A48DE8BF}">
  <sheetPr>
    <tabColor rgb="FFFFC000"/>
  </sheetPr>
  <dimension ref="A1:I150"/>
  <sheetViews>
    <sheetView workbookViewId="0">
      <selection activeCell="D19" sqref="D19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 t="s">
        <v>23</v>
      </c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1D1B9FF4-C0FE-3340-A0D7-F43CF40C8C8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1F86-3ED6-0643-A04D-EBA4AD328D22}">
  <sheetPr>
    <tabColor rgb="FF7030A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7702717C-40E7-B940-AC66-A8BF4691D0B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F705-70A4-7A40-AA07-B73C3B3B2241}">
  <sheetPr>
    <tabColor rgb="FFC0000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C50BD04A-53BA-BC42-9459-0F2ED2E9EB7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67BF-AF6C-1E4B-896A-586320674057}">
  <sheetPr>
    <tabColor rgb="FF00206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64E9EADD-8336-AE4A-84E5-15A477E5F00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263C-D420-FB4A-8ABE-1821B19ECA30}">
  <sheetPr>
    <tabColor rgb="FF00B0F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6E6BC198-E034-844B-AEDF-378565B6DE8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B6A2-AC06-3949-82DA-4FC57F229914}">
  <sheetPr>
    <tabColor rgb="FFFFFF0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B92C4BE0-1B59-234C-B493-09D763C0DB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2807-43B3-F044-890C-18A5455DC71D}">
  <sheetPr>
    <tabColor theme="6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A7DEE025-226D-2049-B82E-17CC772366E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99F9-EF0F-BF47-B8F9-0E939C7E53A8}">
  <sheetPr>
    <tabColor theme="5" tint="-0.249977111117893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B7A9D8C2-9702-DA4E-BC4A-50146EF5FBF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E8CE-BF0B-A748-B7F1-AF0CA7142E65}">
  <sheetPr>
    <tabColor theme="9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910313F7-3D4D-3D4A-B074-58044DF16452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C07E-D55F-1649-9696-DE1D37E4599A}">
  <sheetPr>
    <tabColor rgb="FF7030A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84BF53AC-C709-C443-B071-A357AC7AA31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0DF3-6437-7D43-8E7D-F400DCEAA97C}">
  <sheetPr>
    <tabColor rgb="FF00B05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F5DEE7F0-08A9-F54D-94E9-0910E4FC7726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2C5B-F993-9F4D-B346-F040B9F765B7}">
  <sheetPr>
    <tabColor theme="7" tint="0.39997558519241921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A9796489-165C-4F4D-954A-853860331F19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F1EA-5527-E448-A194-E36B2000FC93}">
  <sheetPr>
    <tabColor rgb="FFFF000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1EC861D9-CADA-3440-A628-156D0CB61777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BE70-E468-3249-89AE-87CF79AEA94A}">
  <sheetPr>
    <tabColor rgb="FF0432FF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C76F7B3D-AE9E-DF43-BFF4-4B3611C47EF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65D3-0BBD-BA4A-9818-1D8997C76813}">
  <sheetPr>
    <tabColor theme="5" tint="-0.249977111117893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F3153976-ED9D-5A4F-B28D-165D16C62A6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0BD6-7992-C840-A591-BB2EE64C12AA}">
  <sheetPr>
    <tabColor theme="1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63" t="s">
        <v>0</v>
      </c>
      <c r="B7" s="65" t="s">
        <v>46</v>
      </c>
      <c r="C7" s="4" t="s">
        <v>45</v>
      </c>
      <c r="D7" s="5" t="s">
        <v>47</v>
      </c>
      <c r="E7" s="6" t="s">
        <v>43</v>
      </c>
      <c r="F7" s="73" t="s">
        <v>1</v>
      </c>
    </row>
    <row r="8" spans="1:9" ht="22" thickBot="1" x14ac:dyDescent="0.3">
      <c r="A8" s="64"/>
      <c r="B8" s="66"/>
      <c r="C8" s="34">
        <f>SUM(C9:C150)</f>
        <v>0</v>
      </c>
      <c r="D8" s="35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0D0CFD9C-878C-534A-917E-D167F2B2A91E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C503-5A14-0E44-8864-F5636A795DB6}">
  <sheetPr>
    <tabColor rgb="FF7030A0"/>
  </sheetPr>
  <dimension ref="A1:I150"/>
  <sheetViews>
    <sheetView workbookViewId="0">
      <selection activeCell="A2" sqref="A2:A3"/>
    </sheetView>
  </sheetViews>
  <sheetFormatPr baseColWidth="10" defaultRowHeight="16" x14ac:dyDescent="0.2"/>
  <cols>
    <col min="1" max="1" width="22.6640625" style="1" customWidth="1"/>
    <col min="2" max="2" width="18.83203125" style="1" customWidth="1"/>
    <col min="3" max="4" width="21.5" bestFit="1" customWidth="1"/>
    <col min="5" max="5" width="22.33203125" bestFit="1" customWidth="1"/>
    <col min="6" max="6" width="15.1640625" bestFit="1" customWidth="1"/>
    <col min="15" max="15" width="22.83203125" bestFit="1" customWidth="1"/>
  </cols>
  <sheetData>
    <row r="1" spans="1:9" ht="21" customHeight="1" x14ac:dyDescent="0.25">
      <c r="A1" s="67" t="s">
        <v>2</v>
      </c>
      <c r="B1" s="68"/>
      <c r="C1" s="90"/>
      <c r="D1" s="91"/>
      <c r="E1" s="91"/>
      <c r="F1" s="92"/>
      <c r="G1" s="96" t="s">
        <v>39</v>
      </c>
      <c r="H1" s="97"/>
      <c r="I1" s="98"/>
    </row>
    <row r="2" spans="1:9" ht="21" customHeight="1" thickBot="1" x14ac:dyDescent="0.3">
      <c r="A2" s="69" t="s">
        <v>3</v>
      </c>
      <c r="B2" s="70"/>
      <c r="C2" s="93"/>
      <c r="D2" s="94"/>
      <c r="E2" s="94"/>
      <c r="F2" s="95"/>
      <c r="G2" s="99"/>
      <c r="H2" s="100"/>
      <c r="I2" s="101"/>
    </row>
    <row r="3" spans="1:9" ht="21" x14ac:dyDescent="0.25">
      <c r="A3" s="69" t="s">
        <v>4</v>
      </c>
      <c r="B3" s="70"/>
      <c r="C3" s="93"/>
      <c r="D3" s="94"/>
      <c r="E3" s="94"/>
      <c r="F3" s="95"/>
    </row>
    <row r="4" spans="1:9" ht="21" x14ac:dyDescent="0.25">
      <c r="A4" s="69" t="s">
        <v>5</v>
      </c>
      <c r="B4" s="70"/>
      <c r="C4" s="93"/>
      <c r="D4" s="94"/>
      <c r="E4" s="94"/>
      <c r="F4" s="95"/>
    </row>
    <row r="5" spans="1:9" ht="22" thickBot="1" x14ac:dyDescent="0.3">
      <c r="A5" s="71" t="s">
        <v>6</v>
      </c>
      <c r="B5" s="72"/>
      <c r="C5" s="102"/>
      <c r="D5" s="103"/>
      <c r="E5" s="103"/>
      <c r="F5" s="104"/>
    </row>
    <row r="6" spans="1:9" ht="17" thickBot="1" x14ac:dyDescent="0.25">
      <c r="A6" s="2"/>
      <c r="B6" s="2"/>
      <c r="C6" s="3"/>
      <c r="D6" s="3"/>
      <c r="E6" s="3"/>
      <c r="F6" s="3"/>
    </row>
    <row r="7" spans="1:9" ht="21" x14ac:dyDescent="0.25">
      <c r="A7" s="105" t="s">
        <v>0</v>
      </c>
      <c r="B7" s="107" t="s">
        <v>46</v>
      </c>
      <c r="C7" s="47" t="s">
        <v>45</v>
      </c>
      <c r="D7" s="49" t="s">
        <v>47</v>
      </c>
      <c r="E7" s="6" t="s">
        <v>43</v>
      </c>
      <c r="F7" s="73" t="s">
        <v>1</v>
      </c>
    </row>
    <row r="8" spans="1:9" ht="22" thickBot="1" x14ac:dyDescent="0.3">
      <c r="A8" s="106"/>
      <c r="B8" s="108"/>
      <c r="C8" s="48">
        <f>SUM(C9:C150)</f>
        <v>0</v>
      </c>
      <c r="D8" s="50">
        <f>SUM(D9:D150)</f>
        <v>56232000</v>
      </c>
      <c r="E8" s="36">
        <f>SUM(E9:E150)</f>
        <v>-56232000</v>
      </c>
      <c r="F8" s="74"/>
    </row>
    <row r="9" spans="1:9" x14ac:dyDescent="0.2">
      <c r="A9" s="7"/>
      <c r="B9" s="39" t="s">
        <v>48</v>
      </c>
      <c r="C9" s="40"/>
      <c r="D9" s="41">
        <v>396000</v>
      </c>
      <c r="E9" s="51">
        <f>C9-D9</f>
        <v>-396000</v>
      </c>
      <c r="F9" s="42"/>
    </row>
    <row r="10" spans="1:9" x14ac:dyDescent="0.2">
      <c r="A10" s="8"/>
      <c r="B10" s="33" t="s">
        <v>49</v>
      </c>
      <c r="C10" s="37"/>
      <c r="D10" s="38">
        <v>396000</v>
      </c>
      <c r="E10" s="51">
        <f>C10-D10</f>
        <v>-396000</v>
      </c>
      <c r="F10" s="43"/>
    </row>
    <row r="11" spans="1:9" x14ac:dyDescent="0.2">
      <c r="A11" s="8"/>
      <c r="B11" s="33" t="s">
        <v>50</v>
      </c>
      <c r="C11" s="37"/>
      <c r="D11" s="38">
        <v>396000</v>
      </c>
      <c r="E11" s="51">
        <f t="shared" ref="E11:E74" si="0">C11-D11</f>
        <v>-396000</v>
      </c>
      <c r="F11" s="43"/>
    </row>
    <row r="12" spans="1:9" x14ac:dyDescent="0.2">
      <c r="A12" s="8"/>
      <c r="B12" s="33" t="s">
        <v>51</v>
      </c>
      <c r="C12" s="37"/>
      <c r="D12" s="38">
        <v>396000</v>
      </c>
      <c r="E12" s="51">
        <f t="shared" si="0"/>
        <v>-396000</v>
      </c>
      <c r="F12" s="43"/>
    </row>
    <row r="13" spans="1:9" x14ac:dyDescent="0.2">
      <c r="A13" s="8"/>
      <c r="B13" s="33" t="s">
        <v>52</v>
      </c>
      <c r="C13" s="37"/>
      <c r="D13" s="38">
        <v>396000</v>
      </c>
      <c r="E13" s="51">
        <f t="shared" si="0"/>
        <v>-396000</v>
      </c>
      <c r="F13" s="43"/>
    </row>
    <row r="14" spans="1:9" x14ac:dyDescent="0.2">
      <c r="A14" s="8"/>
      <c r="B14" s="33" t="s">
        <v>53</v>
      </c>
      <c r="C14" s="37"/>
      <c r="D14" s="38">
        <v>396000</v>
      </c>
      <c r="E14" s="51">
        <f t="shared" si="0"/>
        <v>-396000</v>
      </c>
      <c r="F14" s="43"/>
    </row>
    <row r="15" spans="1:9" x14ac:dyDescent="0.2">
      <c r="A15" s="8"/>
      <c r="B15" s="33" t="s">
        <v>54</v>
      </c>
      <c r="C15" s="37"/>
      <c r="D15" s="38">
        <v>396000</v>
      </c>
      <c r="E15" s="51">
        <f t="shared" si="0"/>
        <v>-396000</v>
      </c>
      <c r="F15" s="43"/>
    </row>
    <row r="16" spans="1:9" x14ac:dyDescent="0.2">
      <c r="A16" s="8"/>
      <c r="B16" s="33" t="s">
        <v>55</v>
      </c>
      <c r="C16" s="37"/>
      <c r="D16" s="38">
        <v>396000</v>
      </c>
      <c r="E16" s="51">
        <f t="shared" si="0"/>
        <v>-396000</v>
      </c>
      <c r="F16" s="43"/>
    </row>
    <row r="17" spans="1:6" x14ac:dyDescent="0.2">
      <c r="A17" s="8"/>
      <c r="B17" s="33" t="s">
        <v>56</v>
      </c>
      <c r="C17" s="37"/>
      <c r="D17" s="38">
        <v>396000</v>
      </c>
      <c r="E17" s="51">
        <f t="shared" si="0"/>
        <v>-396000</v>
      </c>
      <c r="F17" s="43"/>
    </row>
    <row r="18" spans="1:6" x14ac:dyDescent="0.2">
      <c r="A18" s="8"/>
      <c r="B18" s="33" t="s">
        <v>59</v>
      </c>
      <c r="C18" s="37"/>
      <c r="D18" s="38">
        <v>396000</v>
      </c>
      <c r="E18" s="51">
        <f t="shared" si="0"/>
        <v>-396000</v>
      </c>
      <c r="F18" s="43"/>
    </row>
    <row r="19" spans="1:6" x14ac:dyDescent="0.2">
      <c r="A19" s="8"/>
      <c r="B19" s="33" t="s">
        <v>60</v>
      </c>
      <c r="C19" s="37"/>
      <c r="D19" s="38">
        <v>396000</v>
      </c>
      <c r="E19" s="51">
        <f t="shared" si="0"/>
        <v>-396000</v>
      </c>
      <c r="F19" s="43"/>
    </row>
    <row r="20" spans="1:6" x14ac:dyDescent="0.2">
      <c r="A20" s="8"/>
      <c r="B20" s="33" t="s">
        <v>61</v>
      </c>
      <c r="C20" s="37"/>
      <c r="D20" s="38">
        <v>396000</v>
      </c>
      <c r="E20" s="51">
        <f t="shared" si="0"/>
        <v>-396000</v>
      </c>
      <c r="F20" s="43"/>
    </row>
    <row r="21" spans="1:6" x14ac:dyDescent="0.2">
      <c r="A21" s="8"/>
      <c r="B21" s="33" t="s">
        <v>62</v>
      </c>
      <c r="C21" s="37"/>
      <c r="D21" s="38">
        <v>396000</v>
      </c>
      <c r="E21" s="51">
        <f t="shared" si="0"/>
        <v>-396000</v>
      </c>
      <c r="F21" s="43"/>
    </row>
    <row r="22" spans="1:6" x14ac:dyDescent="0.2">
      <c r="A22" s="8"/>
      <c r="B22" s="33" t="s">
        <v>63</v>
      </c>
      <c r="C22" s="37"/>
      <c r="D22" s="38">
        <v>396000</v>
      </c>
      <c r="E22" s="51">
        <f t="shared" si="0"/>
        <v>-396000</v>
      </c>
      <c r="F22" s="43"/>
    </row>
    <row r="23" spans="1:6" x14ac:dyDescent="0.2">
      <c r="A23" s="8"/>
      <c r="B23" s="33" t="s">
        <v>64</v>
      </c>
      <c r="C23" s="37"/>
      <c r="D23" s="38">
        <v>396000</v>
      </c>
      <c r="E23" s="51">
        <f t="shared" si="0"/>
        <v>-396000</v>
      </c>
      <c r="F23" s="43"/>
    </row>
    <row r="24" spans="1:6" x14ac:dyDescent="0.2">
      <c r="A24" s="8"/>
      <c r="B24" s="33" t="s">
        <v>65</v>
      </c>
      <c r="C24" s="37"/>
      <c r="D24" s="38">
        <v>396000</v>
      </c>
      <c r="E24" s="51">
        <f t="shared" si="0"/>
        <v>-396000</v>
      </c>
      <c r="F24" s="43"/>
    </row>
    <row r="25" spans="1:6" x14ac:dyDescent="0.2">
      <c r="A25" s="8"/>
      <c r="B25" s="33" t="s">
        <v>66</v>
      </c>
      <c r="C25" s="37"/>
      <c r="D25" s="38">
        <v>396000</v>
      </c>
      <c r="E25" s="51">
        <f t="shared" si="0"/>
        <v>-396000</v>
      </c>
      <c r="F25" s="43"/>
    </row>
    <row r="26" spans="1:6" x14ac:dyDescent="0.2">
      <c r="A26" s="8"/>
      <c r="B26" s="33" t="s">
        <v>67</v>
      </c>
      <c r="C26" s="37"/>
      <c r="D26" s="38">
        <v>396000</v>
      </c>
      <c r="E26" s="51">
        <f t="shared" si="0"/>
        <v>-396000</v>
      </c>
      <c r="F26" s="43"/>
    </row>
    <row r="27" spans="1:6" x14ac:dyDescent="0.2">
      <c r="A27" s="8"/>
      <c r="B27" s="33" t="s">
        <v>68</v>
      </c>
      <c r="C27" s="37"/>
      <c r="D27" s="38">
        <v>396000</v>
      </c>
      <c r="E27" s="51">
        <f t="shared" si="0"/>
        <v>-396000</v>
      </c>
      <c r="F27" s="43"/>
    </row>
    <row r="28" spans="1:6" x14ac:dyDescent="0.2">
      <c r="A28" s="8"/>
      <c r="B28" s="33" t="s">
        <v>69</v>
      </c>
      <c r="C28" s="37"/>
      <c r="D28" s="38">
        <v>396000</v>
      </c>
      <c r="E28" s="51">
        <f t="shared" si="0"/>
        <v>-396000</v>
      </c>
      <c r="F28" s="43"/>
    </row>
    <row r="29" spans="1:6" x14ac:dyDescent="0.2">
      <c r="A29" s="8"/>
      <c r="B29" s="33" t="s">
        <v>70</v>
      </c>
      <c r="C29" s="37"/>
      <c r="D29" s="38">
        <v>396000</v>
      </c>
      <c r="E29" s="51">
        <f t="shared" si="0"/>
        <v>-396000</v>
      </c>
      <c r="F29" s="43"/>
    </row>
    <row r="30" spans="1:6" x14ac:dyDescent="0.2">
      <c r="A30" s="8"/>
      <c r="B30" s="33" t="s">
        <v>71</v>
      </c>
      <c r="C30" s="37"/>
      <c r="D30" s="38">
        <v>396000</v>
      </c>
      <c r="E30" s="51">
        <f t="shared" si="0"/>
        <v>-396000</v>
      </c>
      <c r="F30" s="43"/>
    </row>
    <row r="31" spans="1:6" x14ac:dyDescent="0.2">
      <c r="A31" s="8"/>
      <c r="B31" s="33" t="s">
        <v>72</v>
      </c>
      <c r="C31" s="37"/>
      <c r="D31" s="38">
        <v>396000</v>
      </c>
      <c r="E31" s="51">
        <f t="shared" si="0"/>
        <v>-396000</v>
      </c>
      <c r="F31" s="43"/>
    </row>
    <row r="32" spans="1:6" x14ac:dyDescent="0.2">
      <c r="A32" s="8"/>
      <c r="B32" s="33" t="s">
        <v>73</v>
      </c>
      <c r="C32" s="37"/>
      <c r="D32" s="38">
        <v>396000</v>
      </c>
      <c r="E32" s="51">
        <f t="shared" si="0"/>
        <v>-396000</v>
      </c>
      <c r="F32" s="43"/>
    </row>
    <row r="33" spans="1:6" x14ac:dyDescent="0.2">
      <c r="A33" s="8"/>
      <c r="B33" s="33" t="s">
        <v>74</v>
      </c>
      <c r="C33" s="37"/>
      <c r="D33" s="38">
        <v>396000</v>
      </c>
      <c r="E33" s="51">
        <f t="shared" si="0"/>
        <v>-396000</v>
      </c>
      <c r="F33" s="43"/>
    </row>
    <row r="34" spans="1:6" x14ac:dyDescent="0.2">
      <c r="A34" s="8"/>
      <c r="B34" s="33" t="s">
        <v>75</v>
      </c>
      <c r="C34" s="37"/>
      <c r="D34" s="38">
        <v>396000</v>
      </c>
      <c r="E34" s="51">
        <f t="shared" si="0"/>
        <v>-396000</v>
      </c>
      <c r="F34" s="43"/>
    </row>
    <row r="35" spans="1:6" x14ac:dyDescent="0.2">
      <c r="A35" s="8"/>
      <c r="B35" s="33" t="s">
        <v>76</v>
      </c>
      <c r="C35" s="37"/>
      <c r="D35" s="38">
        <v>396000</v>
      </c>
      <c r="E35" s="51">
        <f t="shared" si="0"/>
        <v>-396000</v>
      </c>
      <c r="F35" s="43"/>
    </row>
    <row r="36" spans="1:6" x14ac:dyDescent="0.2">
      <c r="A36" s="8"/>
      <c r="B36" s="33" t="s">
        <v>77</v>
      </c>
      <c r="C36" s="37"/>
      <c r="D36" s="38">
        <v>396000</v>
      </c>
      <c r="E36" s="51">
        <f t="shared" si="0"/>
        <v>-396000</v>
      </c>
      <c r="F36" s="43"/>
    </row>
    <row r="37" spans="1:6" x14ac:dyDescent="0.2">
      <c r="A37" s="8"/>
      <c r="B37" s="33" t="s">
        <v>78</v>
      </c>
      <c r="C37" s="37"/>
      <c r="D37" s="38">
        <v>396000</v>
      </c>
      <c r="E37" s="51">
        <f t="shared" si="0"/>
        <v>-396000</v>
      </c>
      <c r="F37" s="43"/>
    </row>
    <row r="38" spans="1:6" x14ac:dyDescent="0.2">
      <c r="A38" s="8"/>
      <c r="B38" s="33" t="s">
        <v>79</v>
      </c>
      <c r="C38" s="37"/>
      <c r="D38" s="38">
        <v>396000</v>
      </c>
      <c r="E38" s="51">
        <f t="shared" si="0"/>
        <v>-396000</v>
      </c>
      <c r="F38" s="43"/>
    </row>
    <row r="39" spans="1:6" x14ac:dyDescent="0.2">
      <c r="A39" s="8"/>
      <c r="B39" s="33" t="s">
        <v>80</v>
      </c>
      <c r="C39" s="37"/>
      <c r="D39" s="38">
        <v>396000</v>
      </c>
      <c r="E39" s="51">
        <f t="shared" si="0"/>
        <v>-396000</v>
      </c>
      <c r="F39" s="43"/>
    </row>
    <row r="40" spans="1:6" x14ac:dyDescent="0.2">
      <c r="A40" s="8"/>
      <c r="B40" s="33" t="s">
        <v>81</v>
      </c>
      <c r="C40" s="37"/>
      <c r="D40" s="38">
        <v>396000</v>
      </c>
      <c r="E40" s="51">
        <f t="shared" si="0"/>
        <v>-396000</v>
      </c>
      <c r="F40" s="43"/>
    </row>
    <row r="41" spans="1:6" x14ac:dyDescent="0.2">
      <c r="A41" s="8"/>
      <c r="B41" s="33" t="s">
        <v>82</v>
      </c>
      <c r="C41" s="37"/>
      <c r="D41" s="38">
        <v>396000</v>
      </c>
      <c r="E41" s="51">
        <f t="shared" si="0"/>
        <v>-396000</v>
      </c>
      <c r="F41" s="43"/>
    </row>
    <row r="42" spans="1:6" x14ac:dyDescent="0.2">
      <c r="A42" s="8"/>
      <c r="B42" s="33" t="s">
        <v>83</v>
      </c>
      <c r="C42" s="37"/>
      <c r="D42" s="38">
        <v>396000</v>
      </c>
      <c r="E42" s="51">
        <f t="shared" si="0"/>
        <v>-396000</v>
      </c>
      <c r="F42" s="43"/>
    </row>
    <row r="43" spans="1:6" x14ac:dyDescent="0.2">
      <c r="A43" s="8"/>
      <c r="B43" s="33" t="s">
        <v>84</v>
      </c>
      <c r="C43" s="37"/>
      <c r="D43" s="38">
        <v>396000</v>
      </c>
      <c r="E43" s="51">
        <f t="shared" si="0"/>
        <v>-396000</v>
      </c>
      <c r="F43" s="43"/>
    </row>
    <row r="44" spans="1:6" x14ac:dyDescent="0.2">
      <c r="A44" s="8"/>
      <c r="B44" s="33" t="s">
        <v>85</v>
      </c>
      <c r="C44" s="37"/>
      <c r="D44" s="38">
        <v>396000</v>
      </c>
      <c r="E44" s="51">
        <f t="shared" si="0"/>
        <v>-396000</v>
      </c>
      <c r="F44" s="43"/>
    </row>
    <row r="45" spans="1:6" x14ac:dyDescent="0.2">
      <c r="A45" s="8"/>
      <c r="B45" s="33" t="s">
        <v>86</v>
      </c>
      <c r="C45" s="37"/>
      <c r="D45" s="38">
        <v>396000</v>
      </c>
      <c r="E45" s="51">
        <f t="shared" si="0"/>
        <v>-396000</v>
      </c>
      <c r="F45" s="43"/>
    </row>
    <row r="46" spans="1:6" x14ac:dyDescent="0.2">
      <c r="A46" s="8"/>
      <c r="B46" s="33" t="s">
        <v>87</v>
      </c>
      <c r="C46" s="37"/>
      <c r="D46" s="38">
        <v>396000</v>
      </c>
      <c r="E46" s="51">
        <f t="shared" si="0"/>
        <v>-396000</v>
      </c>
      <c r="F46" s="43"/>
    </row>
    <row r="47" spans="1:6" x14ac:dyDescent="0.2">
      <c r="A47" s="8"/>
      <c r="B47" s="33" t="s">
        <v>88</v>
      </c>
      <c r="C47" s="37"/>
      <c r="D47" s="38">
        <v>396000</v>
      </c>
      <c r="E47" s="51">
        <f t="shared" si="0"/>
        <v>-396000</v>
      </c>
      <c r="F47" s="43"/>
    </row>
    <row r="48" spans="1:6" x14ac:dyDescent="0.2">
      <c r="A48" s="8"/>
      <c r="B48" s="33" t="s">
        <v>89</v>
      </c>
      <c r="C48" s="37"/>
      <c r="D48" s="38">
        <v>396000</v>
      </c>
      <c r="E48" s="51">
        <f t="shared" si="0"/>
        <v>-396000</v>
      </c>
      <c r="F48" s="43"/>
    </row>
    <row r="49" spans="1:6" x14ac:dyDescent="0.2">
      <c r="A49" s="8"/>
      <c r="B49" s="33" t="s">
        <v>90</v>
      </c>
      <c r="C49" s="37"/>
      <c r="D49" s="38">
        <v>396000</v>
      </c>
      <c r="E49" s="51">
        <f t="shared" si="0"/>
        <v>-396000</v>
      </c>
      <c r="F49" s="43"/>
    </row>
    <row r="50" spans="1:6" x14ac:dyDescent="0.2">
      <c r="A50" s="8"/>
      <c r="B50" s="33" t="s">
        <v>91</v>
      </c>
      <c r="C50" s="37"/>
      <c r="D50" s="38">
        <v>396000</v>
      </c>
      <c r="E50" s="51">
        <f t="shared" si="0"/>
        <v>-396000</v>
      </c>
      <c r="F50" s="43"/>
    </row>
    <row r="51" spans="1:6" x14ac:dyDescent="0.2">
      <c r="A51" s="8"/>
      <c r="B51" s="33" t="s">
        <v>92</v>
      </c>
      <c r="C51" s="37"/>
      <c r="D51" s="38">
        <v>396000</v>
      </c>
      <c r="E51" s="51">
        <f t="shared" si="0"/>
        <v>-396000</v>
      </c>
      <c r="F51" s="43"/>
    </row>
    <row r="52" spans="1:6" x14ac:dyDescent="0.2">
      <c r="A52" s="8"/>
      <c r="B52" s="33" t="s">
        <v>93</v>
      </c>
      <c r="C52" s="37"/>
      <c r="D52" s="38">
        <v>396000</v>
      </c>
      <c r="E52" s="51">
        <f t="shared" si="0"/>
        <v>-396000</v>
      </c>
      <c r="F52" s="43"/>
    </row>
    <row r="53" spans="1:6" x14ac:dyDescent="0.2">
      <c r="A53" s="8"/>
      <c r="B53" s="33" t="s">
        <v>94</v>
      </c>
      <c r="C53" s="37"/>
      <c r="D53" s="38">
        <v>396000</v>
      </c>
      <c r="E53" s="51">
        <f t="shared" si="0"/>
        <v>-396000</v>
      </c>
      <c r="F53" s="43"/>
    </row>
    <row r="54" spans="1:6" x14ac:dyDescent="0.2">
      <c r="A54" s="8"/>
      <c r="B54" s="33" t="s">
        <v>95</v>
      </c>
      <c r="C54" s="37"/>
      <c r="D54" s="38">
        <v>396000</v>
      </c>
      <c r="E54" s="51">
        <f t="shared" si="0"/>
        <v>-396000</v>
      </c>
      <c r="F54" s="43"/>
    </row>
    <row r="55" spans="1:6" x14ac:dyDescent="0.2">
      <c r="A55" s="8"/>
      <c r="B55" s="33" t="s">
        <v>96</v>
      </c>
      <c r="C55" s="37"/>
      <c r="D55" s="38">
        <v>396000</v>
      </c>
      <c r="E55" s="51">
        <f t="shared" si="0"/>
        <v>-396000</v>
      </c>
      <c r="F55" s="43"/>
    </row>
    <row r="56" spans="1:6" x14ac:dyDescent="0.2">
      <c r="A56" s="8"/>
      <c r="B56" s="33" t="s">
        <v>97</v>
      </c>
      <c r="C56" s="37"/>
      <c r="D56" s="38">
        <v>396000</v>
      </c>
      <c r="E56" s="51">
        <f t="shared" si="0"/>
        <v>-396000</v>
      </c>
      <c r="F56" s="43"/>
    </row>
    <row r="57" spans="1:6" x14ac:dyDescent="0.2">
      <c r="A57" s="8"/>
      <c r="B57" s="33" t="s">
        <v>98</v>
      </c>
      <c r="C57" s="37"/>
      <c r="D57" s="38">
        <v>396000</v>
      </c>
      <c r="E57" s="51">
        <f t="shared" si="0"/>
        <v>-396000</v>
      </c>
      <c r="F57" s="43"/>
    </row>
    <row r="58" spans="1:6" x14ac:dyDescent="0.2">
      <c r="A58" s="8"/>
      <c r="B58" s="33" t="s">
        <v>99</v>
      </c>
      <c r="C58" s="37"/>
      <c r="D58" s="38">
        <v>396000</v>
      </c>
      <c r="E58" s="51">
        <f t="shared" si="0"/>
        <v>-396000</v>
      </c>
      <c r="F58" s="43"/>
    </row>
    <row r="59" spans="1:6" x14ac:dyDescent="0.2">
      <c r="A59" s="8"/>
      <c r="B59" s="33" t="s">
        <v>100</v>
      </c>
      <c r="C59" s="37"/>
      <c r="D59" s="38">
        <v>396000</v>
      </c>
      <c r="E59" s="51">
        <f t="shared" si="0"/>
        <v>-396000</v>
      </c>
      <c r="F59" s="43"/>
    </row>
    <row r="60" spans="1:6" x14ac:dyDescent="0.2">
      <c r="A60" s="8"/>
      <c r="B60" s="33" t="s">
        <v>101</v>
      </c>
      <c r="C60" s="37"/>
      <c r="D60" s="38">
        <v>396000</v>
      </c>
      <c r="E60" s="51">
        <f t="shared" si="0"/>
        <v>-396000</v>
      </c>
      <c r="F60" s="43"/>
    </row>
    <row r="61" spans="1:6" x14ac:dyDescent="0.2">
      <c r="A61" s="8"/>
      <c r="B61" s="33" t="s">
        <v>48</v>
      </c>
      <c r="C61" s="37"/>
      <c r="D61" s="38">
        <v>396000</v>
      </c>
      <c r="E61" s="51">
        <f t="shared" si="0"/>
        <v>-396000</v>
      </c>
      <c r="F61" s="43"/>
    </row>
    <row r="62" spans="1:6" x14ac:dyDescent="0.2">
      <c r="A62" s="8"/>
      <c r="B62" s="33" t="s">
        <v>49</v>
      </c>
      <c r="C62" s="37"/>
      <c r="D62" s="38">
        <v>396000</v>
      </c>
      <c r="E62" s="51">
        <f t="shared" si="0"/>
        <v>-396000</v>
      </c>
      <c r="F62" s="43"/>
    </row>
    <row r="63" spans="1:6" x14ac:dyDescent="0.2">
      <c r="A63" s="8"/>
      <c r="B63" s="33" t="s">
        <v>50</v>
      </c>
      <c r="C63" s="37"/>
      <c r="D63" s="38">
        <v>396000</v>
      </c>
      <c r="E63" s="51">
        <f t="shared" si="0"/>
        <v>-396000</v>
      </c>
      <c r="F63" s="43"/>
    </row>
    <row r="64" spans="1:6" x14ac:dyDescent="0.2">
      <c r="A64" s="8"/>
      <c r="B64" s="33" t="s">
        <v>51</v>
      </c>
      <c r="C64" s="37"/>
      <c r="D64" s="38">
        <v>396000</v>
      </c>
      <c r="E64" s="51">
        <f t="shared" si="0"/>
        <v>-396000</v>
      </c>
      <c r="F64" s="43"/>
    </row>
    <row r="65" spans="1:6" x14ac:dyDescent="0.2">
      <c r="A65" s="8"/>
      <c r="B65" s="33" t="s">
        <v>52</v>
      </c>
      <c r="C65" s="37"/>
      <c r="D65" s="38">
        <v>396000</v>
      </c>
      <c r="E65" s="51">
        <f t="shared" si="0"/>
        <v>-396000</v>
      </c>
      <c r="F65" s="43"/>
    </row>
    <row r="66" spans="1:6" x14ac:dyDescent="0.2">
      <c r="A66" s="8"/>
      <c r="B66" s="33" t="s">
        <v>53</v>
      </c>
      <c r="C66" s="37"/>
      <c r="D66" s="38">
        <v>396000</v>
      </c>
      <c r="E66" s="51">
        <f t="shared" si="0"/>
        <v>-396000</v>
      </c>
      <c r="F66" s="43"/>
    </row>
    <row r="67" spans="1:6" x14ac:dyDescent="0.2">
      <c r="A67" s="8"/>
      <c r="B67" s="33" t="s">
        <v>54</v>
      </c>
      <c r="C67" s="37"/>
      <c r="D67" s="38">
        <v>396000</v>
      </c>
      <c r="E67" s="51">
        <f t="shared" si="0"/>
        <v>-396000</v>
      </c>
      <c r="F67" s="43"/>
    </row>
    <row r="68" spans="1:6" x14ac:dyDescent="0.2">
      <c r="A68" s="8"/>
      <c r="B68" s="33" t="s">
        <v>55</v>
      </c>
      <c r="C68" s="37"/>
      <c r="D68" s="38">
        <v>396000</v>
      </c>
      <c r="E68" s="51">
        <f t="shared" si="0"/>
        <v>-396000</v>
      </c>
      <c r="F68" s="43"/>
    </row>
    <row r="69" spans="1:6" x14ac:dyDescent="0.2">
      <c r="A69" s="8"/>
      <c r="B69" s="33" t="s">
        <v>56</v>
      </c>
      <c r="C69" s="37"/>
      <c r="D69" s="38">
        <v>396000</v>
      </c>
      <c r="E69" s="51">
        <f t="shared" si="0"/>
        <v>-396000</v>
      </c>
      <c r="F69" s="43"/>
    </row>
    <row r="70" spans="1:6" x14ac:dyDescent="0.2">
      <c r="A70" s="8"/>
      <c r="B70" s="33" t="s">
        <v>57</v>
      </c>
      <c r="C70" s="37"/>
      <c r="D70" s="38">
        <v>396000</v>
      </c>
      <c r="E70" s="51">
        <f t="shared" si="0"/>
        <v>-396000</v>
      </c>
      <c r="F70" s="43"/>
    </row>
    <row r="71" spans="1:6" x14ac:dyDescent="0.2">
      <c r="A71" s="8"/>
      <c r="B71" s="33" t="s">
        <v>58</v>
      </c>
      <c r="C71" s="37"/>
      <c r="D71" s="38">
        <v>396000</v>
      </c>
      <c r="E71" s="51">
        <f t="shared" si="0"/>
        <v>-396000</v>
      </c>
      <c r="F71" s="43"/>
    </row>
    <row r="72" spans="1:6" x14ac:dyDescent="0.2">
      <c r="A72" s="8"/>
      <c r="B72" s="33" t="s">
        <v>59</v>
      </c>
      <c r="C72" s="37"/>
      <c r="D72" s="38">
        <v>396000</v>
      </c>
      <c r="E72" s="51">
        <f t="shared" si="0"/>
        <v>-396000</v>
      </c>
      <c r="F72" s="43"/>
    </row>
    <row r="73" spans="1:6" x14ac:dyDescent="0.2">
      <c r="A73" s="8"/>
      <c r="B73" s="33" t="s">
        <v>60</v>
      </c>
      <c r="C73" s="37"/>
      <c r="D73" s="38">
        <v>396000</v>
      </c>
      <c r="E73" s="51">
        <f t="shared" si="0"/>
        <v>-396000</v>
      </c>
      <c r="F73" s="43"/>
    </row>
    <row r="74" spans="1:6" x14ac:dyDescent="0.2">
      <c r="A74" s="8"/>
      <c r="B74" s="33" t="s">
        <v>61</v>
      </c>
      <c r="C74" s="37"/>
      <c r="D74" s="38">
        <v>396000</v>
      </c>
      <c r="E74" s="51">
        <f t="shared" si="0"/>
        <v>-396000</v>
      </c>
      <c r="F74" s="43"/>
    </row>
    <row r="75" spans="1:6" x14ac:dyDescent="0.2">
      <c r="A75" s="8"/>
      <c r="B75" s="33" t="s">
        <v>62</v>
      </c>
      <c r="C75" s="37"/>
      <c r="D75" s="38">
        <v>396000</v>
      </c>
      <c r="E75" s="51">
        <f t="shared" ref="E75:E138" si="1">C75-D75</f>
        <v>-396000</v>
      </c>
      <c r="F75" s="43"/>
    </row>
    <row r="76" spans="1:6" x14ac:dyDescent="0.2">
      <c r="A76" s="8"/>
      <c r="B76" s="33" t="s">
        <v>63</v>
      </c>
      <c r="C76" s="37"/>
      <c r="D76" s="38">
        <v>396000</v>
      </c>
      <c r="E76" s="51">
        <f t="shared" si="1"/>
        <v>-396000</v>
      </c>
      <c r="F76" s="43"/>
    </row>
    <row r="77" spans="1:6" x14ac:dyDescent="0.2">
      <c r="A77" s="8"/>
      <c r="B77" s="33" t="s">
        <v>64</v>
      </c>
      <c r="C77" s="37"/>
      <c r="D77" s="38">
        <v>396000</v>
      </c>
      <c r="E77" s="51">
        <f t="shared" si="1"/>
        <v>-396000</v>
      </c>
      <c r="F77" s="43"/>
    </row>
    <row r="78" spans="1:6" x14ac:dyDescent="0.2">
      <c r="A78" s="8"/>
      <c r="B78" s="33" t="s">
        <v>65</v>
      </c>
      <c r="C78" s="37"/>
      <c r="D78" s="38">
        <v>396000</v>
      </c>
      <c r="E78" s="51">
        <f t="shared" si="1"/>
        <v>-396000</v>
      </c>
      <c r="F78" s="43"/>
    </row>
    <row r="79" spans="1:6" x14ac:dyDescent="0.2">
      <c r="A79" s="8"/>
      <c r="B79" s="33" t="s">
        <v>66</v>
      </c>
      <c r="C79" s="37"/>
      <c r="D79" s="38">
        <v>396000</v>
      </c>
      <c r="E79" s="51">
        <f t="shared" si="1"/>
        <v>-396000</v>
      </c>
      <c r="F79" s="43"/>
    </row>
    <row r="80" spans="1:6" x14ac:dyDescent="0.2">
      <c r="A80" s="8"/>
      <c r="B80" s="33" t="s">
        <v>67</v>
      </c>
      <c r="C80" s="37"/>
      <c r="D80" s="38">
        <v>396000</v>
      </c>
      <c r="E80" s="51">
        <f t="shared" si="1"/>
        <v>-396000</v>
      </c>
      <c r="F80" s="43"/>
    </row>
    <row r="81" spans="1:6" x14ac:dyDescent="0.2">
      <c r="A81" s="8"/>
      <c r="B81" s="33" t="s">
        <v>68</v>
      </c>
      <c r="C81" s="37"/>
      <c r="D81" s="38">
        <v>396000</v>
      </c>
      <c r="E81" s="51">
        <f t="shared" si="1"/>
        <v>-396000</v>
      </c>
      <c r="F81" s="43"/>
    </row>
    <row r="82" spans="1:6" x14ac:dyDescent="0.2">
      <c r="A82" s="8"/>
      <c r="B82" s="33" t="s">
        <v>69</v>
      </c>
      <c r="C82" s="37"/>
      <c r="D82" s="38">
        <v>396000</v>
      </c>
      <c r="E82" s="51">
        <f t="shared" si="1"/>
        <v>-396000</v>
      </c>
      <c r="F82" s="43"/>
    </row>
    <row r="83" spans="1:6" x14ac:dyDescent="0.2">
      <c r="A83" s="8"/>
      <c r="B83" s="33" t="s">
        <v>70</v>
      </c>
      <c r="C83" s="37"/>
      <c r="D83" s="38">
        <v>396000</v>
      </c>
      <c r="E83" s="51">
        <f t="shared" si="1"/>
        <v>-396000</v>
      </c>
      <c r="F83" s="43"/>
    </row>
    <row r="84" spans="1:6" x14ac:dyDescent="0.2">
      <c r="A84" s="8"/>
      <c r="B84" s="33" t="s">
        <v>71</v>
      </c>
      <c r="C84" s="37"/>
      <c r="D84" s="38">
        <v>396000</v>
      </c>
      <c r="E84" s="51">
        <f t="shared" si="1"/>
        <v>-396000</v>
      </c>
      <c r="F84" s="43"/>
    </row>
    <row r="85" spans="1:6" x14ac:dyDescent="0.2">
      <c r="A85" s="8"/>
      <c r="B85" s="33" t="s">
        <v>72</v>
      </c>
      <c r="C85" s="37"/>
      <c r="D85" s="38">
        <v>396000</v>
      </c>
      <c r="E85" s="51">
        <f t="shared" si="1"/>
        <v>-396000</v>
      </c>
      <c r="F85" s="43"/>
    </row>
    <row r="86" spans="1:6" x14ac:dyDescent="0.2">
      <c r="A86" s="8"/>
      <c r="B86" s="33" t="s">
        <v>73</v>
      </c>
      <c r="C86" s="37"/>
      <c r="D86" s="38">
        <v>396000</v>
      </c>
      <c r="E86" s="51">
        <f t="shared" si="1"/>
        <v>-396000</v>
      </c>
      <c r="F86" s="43"/>
    </row>
    <row r="87" spans="1:6" x14ac:dyDescent="0.2">
      <c r="A87" s="8"/>
      <c r="B87" s="33" t="s">
        <v>74</v>
      </c>
      <c r="C87" s="37"/>
      <c r="D87" s="38">
        <v>396000</v>
      </c>
      <c r="E87" s="51">
        <f t="shared" si="1"/>
        <v>-396000</v>
      </c>
      <c r="F87" s="43"/>
    </row>
    <row r="88" spans="1:6" x14ac:dyDescent="0.2">
      <c r="A88" s="8"/>
      <c r="B88" s="33" t="s">
        <v>75</v>
      </c>
      <c r="C88" s="37"/>
      <c r="D88" s="38">
        <v>396000</v>
      </c>
      <c r="E88" s="51">
        <f t="shared" si="1"/>
        <v>-396000</v>
      </c>
      <c r="F88" s="43"/>
    </row>
    <row r="89" spans="1:6" x14ac:dyDescent="0.2">
      <c r="A89" s="8"/>
      <c r="B89" s="33" t="s">
        <v>76</v>
      </c>
      <c r="C89" s="37"/>
      <c r="D89" s="38">
        <v>396000</v>
      </c>
      <c r="E89" s="51">
        <f t="shared" si="1"/>
        <v>-396000</v>
      </c>
      <c r="F89" s="43"/>
    </row>
    <row r="90" spans="1:6" x14ac:dyDescent="0.2">
      <c r="A90" s="8"/>
      <c r="B90" s="33" t="s">
        <v>77</v>
      </c>
      <c r="C90" s="37"/>
      <c r="D90" s="38">
        <v>396000</v>
      </c>
      <c r="E90" s="51">
        <f t="shared" si="1"/>
        <v>-396000</v>
      </c>
      <c r="F90" s="43"/>
    </row>
    <row r="91" spans="1:6" x14ac:dyDescent="0.2">
      <c r="A91" s="8"/>
      <c r="B91" s="33" t="s">
        <v>78</v>
      </c>
      <c r="C91" s="37"/>
      <c r="D91" s="38">
        <v>396000</v>
      </c>
      <c r="E91" s="51">
        <f t="shared" si="1"/>
        <v>-396000</v>
      </c>
      <c r="F91" s="43"/>
    </row>
    <row r="92" spans="1:6" x14ac:dyDescent="0.2">
      <c r="A92" s="8"/>
      <c r="B92" s="33" t="s">
        <v>79</v>
      </c>
      <c r="C92" s="37"/>
      <c r="D92" s="38">
        <v>396000</v>
      </c>
      <c r="E92" s="51">
        <f t="shared" si="1"/>
        <v>-396000</v>
      </c>
      <c r="F92" s="43"/>
    </row>
    <row r="93" spans="1:6" x14ac:dyDescent="0.2">
      <c r="A93" s="8"/>
      <c r="B93" s="33" t="s">
        <v>80</v>
      </c>
      <c r="C93" s="37"/>
      <c r="D93" s="38">
        <v>396000</v>
      </c>
      <c r="E93" s="51">
        <f t="shared" si="1"/>
        <v>-396000</v>
      </c>
      <c r="F93" s="43"/>
    </row>
    <row r="94" spans="1:6" x14ac:dyDescent="0.2">
      <c r="A94" s="8"/>
      <c r="B94" s="33" t="s">
        <v>81</v>
      </c>
      <c r="C94" s="37"/>
      <c r="D94" s="38">
        <v>396000</v>
      </c>
      <c r="E94" s="51">
        <f t="shared" si="1"/>
        <v>-396000</v>
      </c>
      <c r="F94" s="43"/>
    </row>
    <row r="95" spans="1:6" x14ac:dyDescent="0.2">
      <c r="A95" s="8"/>
      <c r="B95" s="33" t="s">
        <v>82</v>
      </c>
      <c r="C95" s="37"/>
      <c r="D95" s="38">
        <v>396000</v>
      </c>
      <c r="E95" s="51">
        <f t="shared" si="1"/>
        <v>-396000</v>
      </c>
      <c r="F95" s="43"/>
    </row>
    <row r="96" spans="1:6" x14ac:dyDescent="0.2">
      <c r="A96" s="8"/>
      <c r="B96" s="33" t="s">
        <v>83</v>
      </c>
      <c r="C96" s="37"/>
      <c r="D96" s="38">
        <v>396000</v>
      </c>
      <c r="E96" s="51">
        <f t="shared" si="1"/>
        <v>-396000</v>
      </c>
      <c r="F96" s="43"/>
    </row>
    <row r="97" spans="1:6" x14ac:dyDescent="0.2">
      <c r="A97" s="8"/>
      <c r="B97" s="33" t="s">
        <v>84</v>
      </c>
      <c r="C97" s="37"/>
      <c r="D97" s="38">
        <v>396000</v>
      </c>
      <c r="E97" s="51">
        <f t="shared" si="1"/>
        <v>-396000</v>
      </c>
      <c r="F97" s="43"/>
    </row>
    <row r="98" spans="1:6" x14ac:dyDescent="0.2">
      <c r="A98" s="8"/>
      <c r="B98" s="33" t="s">
        <v>85</v>
      </c>
      <c r="C98" s="37"/>
      <c r="D98" s="38">
        <v>396000</v>
      </c>
      <c r="E98" s="51">
        <f t="shared" si="1"/>
        <v>-396000</v>
      </c>
      <c r="F98" s="43"/>
    </row>
    <row r="99" spans="1:6" x14ac:dyDescent="0.2">
      <c r="A99" s="8"/>
      <c r="B99" s="33" t="s">
        <v>86</v>
      </c>
      <c r="C99" s="37"/>
      <c r="D99" s="38">
        <v>396000</v>
      </c>
      <c r="E99" s="51">
        <f t="shared" si="1"/>
        <v>-396000</v>
      </c>
      <c r="F99" s="43"/>
    </row>
    <row r="100" spans="1:6" x14ac:dyDescent="0.2">
      <c r="A100" s="8"/>
      <c r="B100" s="33" t="s">
        <v>87</v>
      </c>
      <c r="C100" s="37"/>
      <c r="D100" s="38">
        <v>396000</v>
      </c>
      <c r="E100" s="51">
        <f t="shared" si="1"/>
        <v>-396000</v>
      </c>
      <c r="F100" s="43"/>
    </row>
    <row r="101" spans="1:6" x14ac:dyDescent="0.2">
      <c r="A101" s="8"/>
      <c r="B101" s="33" t="s">
        <v>88</v>
      </c>
      <c r="C101" s="37"/>
      <c r="D101" s="38">
        <v>396000</v>
      </c>
      <c r="E101" s="51">
        <f t="shared" si="1"/>
        <v>-396000</v>
      </c>
      <c r="F101" s="43"/>
    </row>
    <row r="102" spans="1:6" x14ac:dyDescent="0.2">
      <c r="A102" s="8"/>
      <c r="B102" s="33" t="s">
        <v>89</v>
      </c>
      <c r="C102" s="37"/>
      <c r="D102" s="38">
        <v>396000</v>
      </c>
      <c r="E102" s="51">
        <f t="shared" si="1"/>
        <v>-396000</v>
      </c>
      <c r="F102" s="43"/>
    </row>
    <row r="103" spans="1:6" x14ac:dyDescent="0.2">
      <c r="A103" s="8"/>
      <c r="B103" s="33" t="s">
        <v>90</v>
      </c>
      <c r="C103" s="37"/>
      <c r="D103" s="38">
        <v>396000</v>
      </c>
      <c r="E103" s="51">
        <f t="shared" si="1"/>
        <v>-396000</v>
      </c>
      <c r="F103" s="43"/>
    </row>
    <row r="104" spans="1:6" x14ac:dyDescent="0.2">
      <c r="A104" s="8"/>
      <c r="B104" s="33" t="s">
        <v>91</v>
      </c>
      <c r="C104" s="37"/>
      <c r="D104" s="38">
        <v>396000</v>
      </c>
      <c r="E104" s="51">
        <f t="shared" si="1"/>
        <v>-396000</v>
      </c>
      <c r="F104" s="43"/>
    </row>
    <row r="105" spans="1:6" x14ac:dyDescent="0.2">
      <c r="A105" s="8"/>
      <c r="B105" s="33" t="s">
        <v>92</v>
      </c>
      <c r="C105" s="37"/>
      <c r="D105" s="38">
        <v>396000</v>
      </c>
      <c r="E105" s="51">
        <f t="shared" si="1"/>
        <v>-396000</v>
      </c>
      <c r="F105" s="43"/>
    </row>
    <row r="106" spans="1:6" x14ac:dyDescent="0.2">
      <c r="A106" s="8"/>
      <c r="B106" s="33" t="s">
        <v>93</v>
      </c>
      <c r="C106" s="37"/>
      <c r="D106" s="38">
        <v>396000</v>
      </c>
      <c r="E106" s="51">
        <f t="shared" si="1"/>
        <v>-396000</v>
      </c>
      <c r="F106" s="43"/>
    </row>
    <row r="107" spans="1:6" x14ac:dyDescent="0.2">
      <c r="A107" s="8"/>
      <c r="B107" s="33" t="s">
        <v>94</v>
      </c>
      <c r="C107" s="37"/>
      <c r="D107" s="38">
        <v>396000</v>
      </c>
      <c r="E107" s="51">
        <f t="shared" si="1"/>
        <v>-396000</v>
      </c>
      <c r="F107" s="43"/>
    </row>
    <row r="108" spans="1:6" x14ac:dyDescent="0.2">
      <c r="A108" s="8"/>
      <c r="B108" s="33" t="s">
        <v>95</v>
      </c>
      <c r="C108" s="37"/>
      <c r="D108" s="38">
        <v>396000</v>
      </c>
      <c r="E108" s="51">
        <f t="shared" si="1"/>
        <v>-396000</v>
      </c>
      <c r="F108" s="43"/>
    </row>
    <row r="109" spans="1:6" x14ac:dyDescent="0.2">
      <c r="A109" s="8"/>
      <c r="B109" s="33" t="s">
        <v>96</v>
      </c>
      <c r="C109" s="37"/>
      <c r="D109" s="38">
        <v>396000</v>
      </c>
      <c r="E109" s="51">
        <f t="shared" si="1"/>
        <v>-396000</v>
      </c>
      <c r="F109" s="43"/>
    </row>
    <row r="110" spans="1:6" x14ac:dyDescent="0.2">
      <c r="A110" s="8"/>
      <c r="B110" s="33" t="s">
        <v>97</v>
      </c>
      <c r="C110" s="37"/>
      <c r="D110" s="38">
        <v>396000</v>
      </c>
      <c r="E110" s="51">
        <f t="shared" si="1"/>
        <v>-396000</v>
      </c>
      <c r="F110" s="43"/>
    </row>
    <row r="111" spans="1:6" x14ac:dyDescent="0.2">
      <c r="A111" s="8"/>
      <c r="B111" s="33" t="s">
        <v>98</v>
      </c>
      <c r="C111" s="37"/>
      <c r="D111" s="38">
        <v>396000</v>
      </c>
      <c r="E111" s="51">
        <f t="shared" si="1"/>
        <v>-396000</v>
      </c>
      <c r="F111" s="43"/>
    </row>
    <row r="112" spans="1:6" x14ac:dyDescent="0.2">
      <c r="A112" s="8"/>
      <c r="B112" s="33" t="s">
        <v>99</v>
      </c>
      <c r="C112" s="37"/>
      <c r="D112" s="38">
        <v>396000</v>
      </c>
      <c r="E112" s="51">
        <f t="shared" si="1"/>
        <v>-396000</v>
      </c>
      <c r="F112" s="43"/>
    </row>
    <row r="113" spans="1:6" x14ac:dyDescent="0.2">
      <c r="A113" s="8"/>
      <c r="B113" s="33" t="s">
        <v>100</v>
      </c>
      <c r="C113" s="37"/>
      <c r="D113" s="38">
        <v>396000</v>
      </c>
      <c r="E113" s="51">
        <f t="shared" si="1"/>
        <v>-396000</v>
      </c>
      <c r="F113" s="43"/>
    </row>
    <row r="114" spans="1:6" x14ac:dyDescent="0.2">
      <c r="A114" s="8"/>
      <c r="B114" s="33" t="s">
        <v>101</v>
      </c>
      <c r="C114" s="37"/>
      <c r="D114" s="38">
        <v>396000</v>
      </c>
      <c r="E114" s="51">
        <f t="shared" si="1"/>
        <v>-396000</v>
      </c>
      <c r="F114" s="43"/>
    </row>
    <row r="115" spans="1:6" x14ac:dyDescent="0.2">
      <c r="A115" s="8"/>
      <c r="B115" s="33" t="s">
        <v>48</v>
      </c>
      <c r="C115" s="37"/>
      <c r="D115" s="38">
        <v>396000</v>
      </c>
      <c r="E115" s="51">
        <f t="shared" si="1"/>
        <v>-396000</v>
      </c>
      <c r="F115" s="43"/>
    </row>
    <row r="116" spans="1:6" x14ac:dyDescent="0.2">
      <c r="A116" s="8"/>
      <c r="B116" s="33" t="s">
        <v>49</v>
      </c>
      <c r="C116" s="37"/>
      <c r="D116" s="38">
        <v>396000</v>
      </c>
      <c r="E116" s="51">
        <f t="shared" si="1"/>
        <v>-396000</v>
      </c>
      <c r="F116" s="43"/>
    </row>
    <row r="117" spans="1:6" x14ac:dyDescent="0.2">
      <c r="A117" s="8"/>
      <c r="B117" s="33" t="s">
        <v>50</v>
      </c>
      <c r="C117" s="37"/>
      <c r="D117" s="38">
        <v>396000</v>
      </c>
      <c r="E117" s="51">
        <f t="shared" si="1"/>
        <v>-396000</v>
      </c>
      <c r="F117" s="43"/>
    </row>
    <row r="118" spans="1:6" x14ac:dyDescent="0.2">
      <c r="A118" s="8"/>
      <c r="B118" s="33" t="s">
        <v>51</v>
      </c>
      <c r="C118" s="37"/>
      <c r="D118" s="38">
        <v>396000</v>
      </c>
      <c r="E118" s="51">
        <f t="shared" si="1"/>
        <v>-396000</v>
      </c>
      <c r="F118" s="43"/>
    </row>
    <row r="119" spans="1:6" x14ac:dyDescent="0.2">
      <c r="A119" s="8"/>
      <c r="B119" s="33" t="s">
        <v>52</v>
      </c>
      <c r="C119" s="37"/>
      <c r="D119" s="38">
        <v>396000</v>
      </c>
      <c r="E119" s="51">
        <f t="shared" si="1"/>
        <v>-396000</v>
      </c>
      <c r="F119" s="43"/>
    </row>
    <row r="120" spans="1:6" x14ac:dyDescent="0.2">
      <c r="A120" s="8"/>
      <c r="B120" s="33" t="s">
        <v>53</v>
      </c>
      <c r="C120" s="37"/>
      <c r="D120" s="38">
        <v>396000</v>
      </c>
      <c r="E120" s="51">
        <f t="shared" si="1"/>
        <v>-396000</v>
      </c>
      <c r="F120" s="43"/>
    </row>
    <row r="121" spans="1:6" x14ac:dyDescent="0.2">
      <c r="A121" s="8"/>
      <c r="B121" s="33" t="s">
        <v>54</v>
      </c>
      <c r="C121" s="37"/>
      <c r="D121" s="38">
        <v>396000</v>
      </c>
      <c r="E121" s="51">
        <f t="shared" si="1"/>
        <v>-396000</v>
      </c>
      <c r="F121" s="43"/>
    </row>
    <row r="122" spans="1:6" x14ac:dyDescent="0.2">
      <c r="A122" s="8"/>
      <c r="B122" s="33" t="s">
        <v>55</v>
      </c>
      <c r="C122" s="37"/>
      <c r="D122" s="38">
        <v>396000</v>
      </c>
      <c r="E122" s="51">
        <f t="shared" si="1"/>
        <v>-396000</v>
      </c>
      <c r="F122" s="43"/>
    </row>
    <row r="123" spans="1:6" x14ac:dyDescent="0.2">
      <c r="A123" s="8"/>
      <c r="B123" s="33" t="s">
        <v>56</v>
      </c>
      <c r="C123" s="37"/>
      <c r="D123" s="38">
        <v>396000</v>
      </c>
      <c r="E123" s="51">
        <f t="shared" si="1"/>
        <v>-396000</v>
      </c>
      <c r="F123" s="43"/>
    </row>
    <row r="124" spans="1:6" x14ac:dyDescent="0.2">
      <c r="A124" s="8"/>
      <c r="B124" s="33" t="s">
        <v>57</v>
      </c>
      <c r="C124" s="37"/>
      <c r="D124" s="38">
        <v>396000</v>
      </c>
      <c r="E124" s="51">
        <f t="shared" si="1"/>
        <v>-396000</v>
      </c>
      <c r="F124" s="43"/>
    </row>
    <row r="125" spans="1:6" x14ac:dyDescent="0.2">
      <c r="A125" s="8"/>
      <c r="B125" s="33" t="s">
        <v>58</v>
      </c>
      <c r="C125" s="37"/>
      <c r="D125" s="38">
        <v>396000</v>
      </c>
      <c r="E125" s="51">
        <f t="shared" si="1"/>
        <v>-396000</v>
      </c>
      <c r="F125" s="43"/>
    </row>
    <row r="126" spans="1:6" x14ac:dyDescent="0.2">
      <c r="A126" s="8"/>
      <c r="B126" s="33" t="s">
        <v>59</v>
      </c>
      <c r="C126" s="37"/>
      <c r="D126" s="38">
        <v>396000</v>
      </c>
      <c r="E126" s="51">
        <f t="shared" si="1"/>
        <v>-396000</v>
      </c>
      <c r="F126" s="43"/>
    </row>
    <row r="127" spans="1:6" x14ac:dyDescent="0.2">
      <c r="A127" s="8"/>
      <c r="B127" s="33" t="s">
        <v>60</v>
      </c>
      <c r="C127" s="37"/>
      <c r="D127" s="38">
        <v>396000</v>
      </c>
      <c r="E127" s="51">
        <f t="shared" si="1"/>
        <v>-396000</v>
      </c>
      <c r="F127" s="43"/>
    </row>
    <row r="128" spans="1:6" x14ac:dyDescent="0.2">
      <c r="A128" s="8"/>
      <c r="B128" s="33" t="s">
        <v>61</v>
      </c>
      <c r="C128" s="37"/>
      <c r="D128" s="38">
        <v>396000</v>
      </c>
      <c r="E128" s="51">
        <f t="shared" si="1"/>
        <v>-396000</v>
      </c>
      <c r="F128" s="43"/>
    </row>
    <row r="129" spans="1:6" x14ac:dyDescent="0.2">
      <c r="A129" s="8"/>
      <c r="B129" s="33" t="s">
        <v>62</v>
      </c>
      <c r="C129" s="37"/>
      <c r="D129" s="38">
        <v>396000</v>
      </c>
      <c r="E129" s="51">
        <f t="shared" si="1"/>
        <v>-396000</v>
      </c>
      <c r="F129" s="43"/>
    </row>
    <row r="130" spans="1:6" x14ac:dyDescent="0.2">
      <c r="A130" s="8"/>
      <c r="B130" s="33" t="s">
        <v>63</v>
      </c>
      <c r="C130" s="37"/>
      <c r="D130" s="38">
        <v>396000</v>
      </c>
      <c r="E130" s="51">
        <f t="shared" si="1"/>
        <v>-396000</v>
      </c>
      <c r="F130" s="43"/>
    </row>
    <row r="131" spans="1:6" x14ac:dyDescent="0.2">
      <c r="A131" s="8"/>
      <c r="B131" s="33" t="s">
        <v>64</v>
      </c>
      <c r="C131" s="37"/>
      <c r="D131" s="38">
        <v>396000</v>
      </c>
      <c r="E131" s="51">
        <f t="shared" si="1"/>
        <v>-396000</v>
      </c>
      <c r="F131" s="43"/>
    </row>
    <row r="132" spans="1:6" x14ac:dyDescent="0.2">
      <c r="A132" s="8"/>
      <c r="B132" s="33" t="s">
        <v>65</v>
      </c>
      <c r="C132" s="37"/>
      <c r="D132" s="38">
        <v>396000</v>
      </c>
      <c r="E132" s="51">
        <f t="shared" si="1"/>
        <v>-396000</v>
      </c>
      <c r="F132" s="43"/>
    </row>
    <row r="133" spans="1:6" x14ac:dyDescent="0.2">
      <c r="A133" s="8"/>
      <c r="B133" s="33" t="s">
        <v>66</v>
      </c>
      <c r="C133" s="37"/>
      <c r="D133" s="38">
        <v>396000</v>
      </c>
      <c r="E133" s="51">
        <f t="shared" si="1"/>
        <v>-396000</v>
      </c>
      <c r="F133" s="43"/>
    </row>
    <row r="134" spans="1:6" x14ac:dyDescent="0.2">
      <c r="A134" s="8"/>
      <c r="B134" s="33" t="s">
        <v>67</v>
      </c>
      <c r="C134" s="37"/>
      <c r="D134" s="38">
        <v>396000</v>
      </c>
      <c r="E134" s="51">
        <f t="shared" si="1"/>
        <v>-396000</v>
      </c>
      <c r="F134" s="43"/>
    </row>
    <row r="135" spans="1:6" x14ac:dyDescent="0.2">
      <c r="A135" s="8"/>
      <c r="B135" s="33" t="s">
        <v>68</v>
      </c>
      <c r="C135" s="37"/>
      <c r="D135" s="38">
        <v>396000</v>
      </c>
      <c r="E135" s="51">
        <f t="shared" si="1"/>
        <v>-396000</v>
      </c>
      <c r="F135" s="43"/>
    </row>
    <row r="136" spans="1:6" x14ac:dyDescent="0.2">
      <c r="A136" s="8"/>
      <c r="B136" s="33" t="s">
        <v>69</v>
      </c>
      <c r="C136" s="37"/>
      <c r="D136" s="38">
        <v>396000</v>
      </c>
      <c r="E136" s="51">
        <f t="shared" si="1"/>
        <v>-396000</v>
      </c>
      <c r="F136" s="43"/>
    </row>
    <row r="137" spans="1:6" x14ac:dyDescent="0.2">
      <c r="A137" s="8"/>
      <c r="B137" s="33" t="s">
        <v>70</v>
      </c>
      <c r="C137" s="37"/>
      <c r="D137" s="38">
        <v>396000</v>
      </c>
      <c r="E137" s="51">
        <f t="shared" si="1"/>
        <v>-396000</v>
      </c>
      <c r="F137" s="43"/>
    </row>
    <row r="138" spans="1:6" x14ac:dyDescent="0.2">
      <c r="A138" s="8"/>
      <c r="B138" s="33" t="s">
        <v>71</v>
      </c>
      <c r="C138" s="37"/>
      <c r="D138" s="38">
        <v>396000</v>
      </c>
      <c r="E138" s="51">
        <f t="shared" si="1"/>
        <v>-396000</v>
      </c>
      <c r="F138" s="43"/>
    </row>
    <row r="139" spans="1:6" x14ac:dyDescent="0.2">
      <c r="A139" s="8"/>
      <c r="B139" s="33" t="s">
        <v>72</v>
      </c>
      <c r="C139" s="37"/>
      <c r="D139" s="38">
        <v>396000</v>
      </c>
      <c r="E139" s="51">
        <f t="shared" ref="E139:E150" si="2">C139-D139</f>
        <v>-396000</v>
      </c>
      <c r="F139" s="43"/>
    </row>
    <row r="140" spans="1:6" x14ac:dyDescent="0.2">
      <c r="A140" s="8"/>
      <c r="B140" s="33" t="s">
        <v>73</v>
      </c>
      <c r="C140" s="37"/>
      <c r="D140" s="38">
        <v>396000</v>
      </c>
      <c r="E140" s="51">
        <f t="shared" si="2"/>
        <v>-396000</v>
      </c>
      <c r="F140" s="43"/>
    </row>
    <row r="141" spans="1:6" x14ac:dyDescent="0.2">
      <c r="A141" s="8"/>
      <c r="B141" s="33" t="s">
        <v>74</v>
      </c>
      <c r="C141" s="37"/>
      <c r="D141" s="38">
        <v>396000</v>
      </c>
      <c r="E141" s="51">
        <f t="shared" si="2"/>
        <v>-396000</v>
      </c>
      <c r="F141" s="43"/>
    </row>
    <row r="142" spans="1:6" x14ac:dyDescent="0.2">
      <c r="A142" s="8"/>
      <c r="B142" s="33" t="s">
        <v>75</v>
      </c>
      <c r="C142" s="37"/>
      <c r="D142" s="38">
        <v>396000</v>
      </c>
      <c r="E142" s="51">
        <f t="shared" si="2"/>
        <v>-396000</v>
      </c>
      <c r="F142" s="43"/>
    </row>
    <row r="143" spans="1:6" x14ac:dyDescent="0.2">
      <c r="A143" s="8"/>
      <c r="B143" s="33" t="s">
        <v>76</v>
      </c>
      <c r="C143" s="37"/>
      <c r="D143" s="38">
        <v>396000</v>
      </c>
      <c r="E143" s="51">
        <f t="shared" si="2"/>
        <v>-396000</v>
      </c>
      <c r="F143" s="43"/>
    </row>
    <row r="144" spans="1:6" x14ac:dyDescent="0.2">
      <c r="A144" s="8"/>
      <c r="B144" s="33" t="s">
        <v>77</v>
      </c>
      <c r="C144" s="37"/>
      <c r="D144" s="38">
        <v>396000</v>
      </c>
      <c r="E144" s="51">
        <f t="shared" si="2"/>
        <v>-396000</v>
      </c>
      <c r="F144" s="43"/>
    </row>
    <row r="145" spans="1:6" x14ac:dyDescent="0.2">
      <c r="A145" s="8"/>
      <c r="B145" s="33" t="s">
        <v>78</v>
      </c>
      <c r="C145" s="37"/>
      <c r="D145" s="38">
        <v>396000</v>
      </c>
      <c r="E145" s="51">
        <f t="shared" si="2"/>
        <v>-396000</v>
      </c>
      <c r="F145" s="43"/>
    </row>
    <row r="146" spans="1:6" x14ac:dyDescent="0.2">
      <c r="A146" s="8"/>
      <c r="B146" s="33" t="s">
        <v>79</v>
      </c>
      <c r="C146" s="37"/>
      <c r="D146" s="38">
        <v>396000</v>
      </c>
      <c r="E146" s="51">
        <f t="shared" si="2"/>
        <v>-396000</v>
      </c>
      <c r="F146" s="43"/>
    </row>
    <row r="147" spans="1:6" x14ac:dyDescent="0.2">
      <c r="A147" s="8"/>
      <c r="B147" s="33" t="s">
        <v>80</v>
      </c>
      <c r="C147" s="37"/>
      <c r="D147" s="38">
        <v>396000</v>
      </c>
      <c r="E147" s="51">
        <f t="shared" si="2"/>
        <v>-396000</v>
      </c>
      <c r="F147" s="43"/>
    </row>
    <row r="148" spans="1:6" x14ac:dyDescent="0.2">
      <c r="A148" s="8"/>
      <c r="B148" s="33" t="s">
        <v>81</v>
      </c>
      <c r="C148" s="37"/>
      <c r="D148" s="38">
        <v>396000</v>
      </c>
      <c r="E148" s="51">
        <f t="shared" si="2"/>
        <v>-396000</v>
      </c>
      <c r="F148" s="43"/>
    </row>
    <row r="149" spans="1:6" x14ac:dyDescent="0.2">
      <c r="A149" s="8"/>
      <c r="B149" s="33" t="s">
        <v>82</v>
      </c>
      <c r="C149" s="37"/>
      <c r="D149" s="38">
        <v>396000</v>
      </c>
      <c r="E149" s="51">
        <f t="shared" si="2"/>
        <v>-396000</v>
      </c>
      <c r="F149" s="43"/>
    </row>
    <row r="150" spans="1:6" ht="17" thickBot="1" x14ac:dyDescent="0.25">
      <c r="A150" s="9"/>
      <c r="B150" s="44" t="s">
        <v>83</v>
      </c>
      <c r="C150" s="45"/>
      <c r="D150" s="38">
        <v>396000</v>
      </c>
      <c r="E150" s="51">
        <f t="shared" si="2"/>
        <v>-396000</v>
      </c>
      <c r="F150" s="46"/>
    </row>
  </sheetData>
  <mergeCells count="14">
    <mergeCell ref="G1:I2"/>
    <mergeCell ref="A4:B4"/>
    <mergeCell ref="C4:F4"/>
    <mergeCell ref="A5:B5"/>
    <mergeCell ref="C5:F5"/>
    <mergeCell ref="F7:F8"/>
    <mergeCell ref="A1:B1"/>
    <mergeCell ref="C1:F1"/>
    <mergeCell ref="A2:B2"/>
    <mergeCell ref="C2:F2"/>
    <mergeCell ref="A3:B3"/>
    <mergeCell ref="C3:F3"/>
    <mergeCell ref="A7:A8"/>
    <mergeCell ref="B7:B8"/>
  </mergeCells>
  <phoneticPr fontId="3" type="noConversion"/>
  <hyperlinks>
    <hyperlink ref="G1:I2" location="GLOBAL!A1" display="Retour au GLOBAL" xr:uid="{36A9C3AE-F93C-0A49-A1B9-EFF5B25E8F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GLOBAL</vt:lpstr>
      <vt:lpstr>V1</vt:lpstr>
      <vt:lpstr>V2</vt:lpstr>
      <vt:lpstr>V3</vt:lpstr>
      <vt:lpstr>V4</vt:lpstr>
      <vt:lpstr>V5</vt:lpstr>
      <vt:lpstr>V6</vt:lpstr>
      <vt:lpstr>V7</vt:lpstr>
      <vt:lpstr>V8</vt:lpstr>
      <vt:lpstr>V9</vt:lpstr>
      <vt:lpstr>V10</vt:lpstr>
      <vt:lpstr>V11</vt:lpstr>
      <vt:lpstr>V12</vt:lpstr>
      <vt:lpstr>V13</vt:lpstr>
      <vt:lpstr>V14</vt:lpstr>
      <vt:lpstr>V15</vt:lpstr>
      <vt:lpstr>V16</vt:lpstr>
      <vt:lpstr>V17</vt:lpstr>
      <vt:lpstr>V18</vt:lpstr>
      <vt:lpstr>V19</vt:lpstr>
      <vt:lpstr>V20</vt:lpstr>
      <vt:lpstr>V21</vt:lpstr>
      <vt:lpstr>V22</vt:lpstr>
      <vt:lpstr>V23</vt:lpstr>
      <vt:lpstr>V24</vt:lpstr>
      <vt:lpstr>V25</vt:lpstr>
      <vt:lpstr>V26</vt:lpstr>
      <vt:lpstr>V27</vt:lpstr>
      <vt:lpstr>V28</vt:lpstr>
      <vt:lpstr>V29</vt:lpstr>
      <vt:lpstr>V30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2025-10-09T11:07:26Z</dcterms:created>
  <dcterms:modified xsi:type="dcterms:W3CDTF">2025-11-13T20:23:20Z</dcterms:modified>
</cp:coreProperties>
</file>